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15600" windowHeight="8070"/>
  </bookViews>
  <sheets>
    <sheet name="Name" sheetId="1" r:id="rId1"/>
    <sheet name="Future Value" sheetId="2" r:id="rId2"/>
    <sheet name="Retirement Corpus" sheetId="3" r:id="rId3"/>
    <sheet name="Invest Per Month" sheetId="4" r:id="rId4"/>
    <sheet name="Summary" sheetId="5" r:id="rId5"/>
  </sheets>
  <calcPr calcId="124519"/>
</workbook>
</file>

<file path=xl/calcChain.xml><?xml version="1.0" encoding="utf-8"?>
<calcChain xmlns="http://schemas.openxmlformats.org/spreadsheetml/2006/main">
  <c r="T8" i="2"/>
  <c r="T9" s="1"/>
  <c r="T10" s="1"/>
  <c r="T11" s="1"/>
  <c r="T12" s="1"/>
  <c r="T13" s="1"/>
  <c r="T14" s="1"/>
  <c r="T15" s="1"/>
  <c r="T7"/>
  <c r="K24" i="5"/>
  <c r="N24" s="1"/>
  <c r="G8"/>
  <c r="G24"/>
  <c r="G16"/>
  <c r="G26"/>
  <c r="G18"/>
  <c r="D28" i="4"/>
  <c r="G3" i="5"/>
  <c r="G12"/>
  <c r="G14"/>
  <c r="S3" i="4"/>
  <c r="S4" s="1"/>
  <c r="S5" s="1"/>
  <c r="S6" s="1"/>
  <c r="S7" s="1"/>
  <c r="S8" s="1"/>
  <c r="S9" s="1"/>
  <c r="S10" s="1"/>
  <c r="S11" s="1"/>
  <c r="S12" s="1"/>
  <c r="S13" s="1"/>
  <c r="S14" s="1"/>
  <c r="S15" s="1"/>
  <c r="S16" s="1"/>
  <c r="S17" s="1"/>
  <c r="S18" s="1"/>
  <c r="S19" s="1"/>
  <c r="S20" s="1"/>
  <c r="S21" s="1"/>
  <c r="S22" s="1"/>
  <c r="S23" s="1"/>
  <c r="S24" s="1"/>
  <c r="S25" s="1"/>
  <c r="S26" s="1"/>
  <c r="T3" i="3"/>
  <c r="T4" s="1"/>
  <c r="T5" s="1"/>
  <c r="T6" s="1"/>
  <c r="T7" s="1"/>
  <c r="T8" s="1"/>
  <c r="T9" s="1"/>
  <c r="T10" s="1"/>
  <c r="T11" s="1"/>
  <c r="T12" s="1"/>
  <c r="T13" s="1"/>
  <c r="T14" s="1"/>
  <c r="T15" s="1"/>
  <c r="T16" s="1"/>
  <c r="T17" s="1"/>
  <c r="T18" s="1"/>
  <c r="T19" s="1"/>
  <c r="T20" s="1"/>
  <c r="T21" s="1"/>
  <c r="T22" s="1"/>
  <c r="T23" s="1"/>
  <c r="T24" s="1"/>
  <c r="T25" s="1"/>
  <c r="T26" s="1"/>
  <c r="H15" i="2"/>
  <c r="D34" s="1"/>
  <c r="G24" s="1"/>
  <c r="F13" i="3" l="1"/>
  <c r="F22" s="1"/>
  <c r="I18" i="5" s="1"/>
  <c r="N18" s="1"/>
  <c r="H24" i="2"/>
  <c r="F16" i="4"/>
  <c r="F13" l="1"/>
  <c r="F25" s="1"/>
  <c r="G6" i="5"/>
  <c r="J16"/>
  <c r="N16" s="1"/>
  <c r="G22" i="3"/>
  <c r="G4" i="5"/>
  <c r="I21"/>
  <c r="N21" s="1"/>
  <c r="D24" i="3"/>
  <c r="I26" i="5" l="1"/>
  <c r="N26" s="1"/>
  <c r="G5"/>
  <c r="G9"/>
  <c r="G25" i="4"/>
  <c r="D27"/>
</calcChain>
</file>

<file path=xl/sharedStrings.xml><?xml version="1.0" encoding="utf-8"?>
<sst xmlns="http://schemas.openxmlformats.org/spreadsheetml/2006/main" count="50" uniqueCount="36">
  <si>
    <t>Welcome to Retirement Calculator</t>
  </si>
  <si>
    <t>Use the Retirement Calculator to find out the future value of your current expenses, calculate the retirement corpus you need to accumulate and how much you need to save to ensure you enjoy your golden post-retirement days.</t>
  </si>
  <si>
    <t>RETIREMENT CALCULATOR</t>
  </si>
  <si>
    <t>Lets you know the Future Value of your current expenses</t>
  </si>
  <si>
    <t>My Present Age</t>
  </si>
  <si>
    <t>Inflation rate</t>
  </si>
  <si>
    <t>Current Monthly Expenses:</t>
  </si>
  <si>
    <t>Years</t>
  </si>
  <si>
    <t>INR</t>
  </si>
  <si>
    <t>Annuity per month</t>
  </si>
  <si>
    <t>Assumed Rate of Returns Post-Retirement</t>
  </si>
  <si>
    <t>Your Retirement Corpus is</t>
  </si>
  <si>
    <t>Number of years left for retirement</t>
  </si>
  <si>
    <t>Assumed Rate of Returns During Accumulation</t>
  </si>
  <si>
    <t>Enter Your Name:</t>
  </si>
  <si>
    <t>Lets you calculate the retirement corpus for given post-retirement expenses. The expenses may be same as the previous step, or you may like to enter a different amount as per your choice</t>
  </si>
  <si>
    <t>Notice how your future expenses are substantially higher, due to the effect of inflation. You have to save prudently to beat 
inflation and accumulate a sufficient retirement corpus to ensure that your future cost of living is comfortably met.</t>
  </si>
  <si>
    <t xml:space="preserve">expenses based on your assumptions. You may also like to consider building a higher retirement corpus to take care of </t>
  </si>
  <si>
    <t>emergency expenses</t>
  </si>
  <si>
    <r>
      <rPr>
        <b/>
        <sz val="8"/>
        <color rgb="FF444444"/>
        <rFont val="Helvetica_ce_55_romanregular"/>
      </rPr>
      <t>Calculation Methodology</t>
    </r>
    <r>
      <rPr>
        <b/>
        <sz val="8"/>
        <color rgb="FF333333"/>
        <rFont val="Arial"/>
        <family val="2"/>
      </rPr>
      <t>:</t>
    </r>
    <r>
      <rPr>
        <sz val="8"/>
        <color rgb="FF333333"/>
        <rFont val="Arial"/>
        <family val="2"/>
      </rPr>
      <t xml:space="preserve"> The above calculation is based on monthly compounding of the rate of return you have entered, over the number of years of your retirement for the required retirement corpus. For example, if you have entered 15% rate of return for 30 years, the calculator uses 1.25% (15% divided by 12) for 360 months (30 years multiplied by 12) to calculate the amount you need to save per month to accumulate your desired retirement corpus</t>
    </r>
  </si>
  <si>
    <r>
      <rPr>
        <b/>
        <sz val="8"/>
        <rFont val="Helvetica_ce_55_romanregular"/>
      </rPr>
      <t>Calculation Methodology</t>
    </r>
    <r>
      <rPr>
        <b/>
        <sz val="8"/>
        <rFont val="Arial"/>
        <family val="2"/>
      </rPr>
      <t xml:space="preserve">: </t>
    </r>
    <r>
      <rPr>
        <sz val="8"/>
        <rFont val="Arial"/>
        <family val="2"/>
      </rPr>
      <t>The above calculation is based on monthly compounding of the inflation rate you have assumed. For example, if you have assumed 6% inflation rate, 0.5% (6% divided by 12) monthly compounded rate is used for the time period between your present age and retirement.</t>
    </r>
  </si>
  <si>
    <t xml:space="preserve">  No. of years to retire:</t>
  </si>
  <si>
    <t>RELIANCE MF RETIREMENT CALCULATOR</t>
  </si>
  <si>
    <t>I am planning to retire at</t>
  </si>
  <si>
    <t>How much would you invest right now as a lumpsum towards your retirement goal</t>
  </si>
  <si>
    <t>Possible Retirement Corpus: Rs.</t>
  </si>
  <si>
    <t>Life Expectancy 
(number of years post retirement)</t>
  </si>
  <si>
    <t>Your Retirement Corpus is: INR</t>
  </si>
  <si>
    <t>How much you need to invest every month is INR:</t>
  </si>
  <si>
    <t>Future value of your current monthly expense: INR</t>
  </si>
  <si>
    <t>Disclaimer: This calculator is provided to enable you to plan your retirement and aid an estimate for the retirement benefit. It is designed only for information / education purpose. The results presented by this calculator are hypothetical and basis the information / inputs provided by you and guides you to plan your retirement and importance of savings for your retirement benefits. . Kindly do not consider this as an investment advice or direct or indirect solicitation for the scheme or the performance. While utmost care has been exercised in preparing this calculator, Reliance Capital Asset Management Limited / Reliance Trustee Co. Ltd/ Sponsor or their respective directors, employees, affiliates or representatives do not warrant the completeness or guarantee the accuracy of the information and will not be responsible for any liabilities, losses, damages arising out of the use or in respect of anything done in reliance of the calculator. The calculations provided through this calculator shall not directly or indirectly be construed as solicitation of scheme the performance of the scheme. Request you consult your financial advisor before making any type of investment.</t>
  </si>
  <si>
    <r>
      <rPr>
        <b/>
        <sz val="8"/>
        <rFont val="Helvetica_ce_55_romanregular"/>
      </rPr>
      <t>Calculation Methodology:</t>
    </r>
    <r>
      <rPr>
        <sz val="8"/>
        <rFont val="Helvetica_ce_55_romanregular"/>
      </rPr>
      <t xml:space="preserve"> The above calculation is based on the assumption that monthly withdrawal is made on the retirement corpus at monthly compounding of the annual rate of return you have entered over the period of your life expectancy. For example, if you have entered 10% as the rate of return and life expectancy as 30 years, the calculator uses 0.83% (10% divided by 12) for 360 months (30 years multiplied by 12) to calculate the retirement corpus required for the monthly withdrawal amount. Please note that your retirement corpus will be completely used up, and will become nil at the end of life-expectancy.</t>
    </r>
  </si>
  <si>
    <t>Crs.</t>
  </si>
  <si>
    <t>Lacs</t>
  </si>
  <si>
    <t>thousand</t>
  </si>
  <si>
    <t>lacs</t>
  </si>
</sst>
</file>

<file path=xl/styles.xml><?xml version="1.0" encoding="utf-8"?>
<styleSheet xmlns="http://schemas.openxmlformats.org/spreadsheetml/2006/main">
  <numFmts count="1">
    <numFmt numFmtId="164" formatCode="_ [$Rs.-4009]\ * #,##0.0_ ;_ [$Rs.-4009]\ * \-#,##0.0_ ;_ [$Rs.-4009]\ * &quot;-&quot;?_ ;_ @_ "/>
  </numFmts>
  <fonts count="36">
    <font>
      <sz val="11"/>
      <color theme="1"/>
      <name val="Calibri"/>
      <family val="2"/>
      <scheme val="minor"/>
    </font>
    <font>
      <sz val="10"/>
      <color theme="1"/>
      <name val="Calibri"/>
      <family val="2"/>
      <scheme val="minor"/>
    </font>
    <font>
      <sz val="10"/>
      <color rgb="FF444444"/>
      <name val="Arial"/>
      <family val="2"/>
    </font>
    <font>
      <sz val="16"/>
      <color rgb="FFFF0000"/>
      <name val="Helvetica_ce_55_romanregular"/>
    </font>
    <font>
      <sz val="13"/>
      <color rgb="FF333333"/>
      <name val="Helvetica_ce_55_romanregular"/>
    </font>
    <font>
      <sz val="12"/>
      <color rgb="FF444444"/>
      <name val="Helvetica_ce_55_romanregular"/>
    </font>
    <font>
      <sz val="12"/>
      <color rgb="FF444444"/>
      <name val="Arial"/>
      <family val="2"/>
    </font>
    <font>
      <b/>
      <sz val="8"/>
      <color rgb="FF333333"/>
      <name val="Arial"/>
      <family val="2"/>
    </font>
    <font>
      <sz val="8"/>
      <color rgb="FF333333"/>
      <name val="Arial"/>
      <family val="2"/>
    </font>
    <font>
      <sz val="16"/>
      <color theme="1"/>
      <name val="Calibri"/>
      <family val="2"/>
      <scheme val="minor"/>
    </font>
    <font>
      <sz val="24"/>
      <name val="Helvetica_ce_55_romanregular"/>
    </font>
    <font>
      <sz val="11"/>
      <name val="Helvetica_ce_55_romanregular"/>
    </font>
    <font>
      <sz val="10"/>
      <name val="Helvetica_ce_55_romanregular"/>
    </font>
    <font>
      <b/>
      <sz val="12"/>
      <color rgb="FF444444"/>
      <name val="Helvetica_ce_55_romanregular"/>
    </font>
    <font>
      <sz val="16"/>
      <color theme="0" tint="-0.14999847407452621"/>
      <name val="Calibri"/>
      <family val="2"/>
      <scheme val="minor"/>
    </font>
    <font>
      <sz val="8"/>
      <color rgb="FF444444"/>
      <name val="Helvetica_ce_55_romanregular"/>
    </font>
    <font>
      <b/>
      <sz val="8"/>
      <color rgb="FF444444"/>
      <name val="Helvetica_ce_55_romanregular"/>
    </font>
    <font>
      <b/>
      <sz val="11"/>
      <name val="Helvetica_ce_55_romanregular"/>
    </font>
    <font>
      <b/>
      <sz val="10"/>
      <name val="Helvetica_ce_55_romanregular"/>
    </font>
    <font>
      <sz val="8"/>
      <name val="Helvetica_ce_55_romanregular"/>
    </font>
    <font>
      <b/>
      <sz val="8"/>
      <name val="Helvetica_ce_55_romanregular"/>
    </font>
    <font>
      <b/>
      <sz val="8"/>
      <name val="Arial"/>
      <family val="2"/>
    </font>
    <font>
      <sz val="8"/>
      <name val="Arial"/>
      <family val="2"/>
    </font>
    <font>
      <b/>
      <sz val="16"/>
      <color theme="4" tint="-0.249977111117893"/>
      <name val="Helvetica_ce_55_romanregular"/>
    </font>
    <font>
      <sz val="11"/>
      <color theme="0"/>
      <name val="Calibri"/>
      <family val="2"/>
      <scheme val="minor"/>
    </font>
    <font>
      <b/>
      <sz val="12"/>
      <color rgb="FF444444"/>
      <name val="Trebuchet MS"/>
      <family val="2"/>
    </font>
    <font>
      <sz val="12"/>
      <color rgb="FF444444"/>
      <name val="Trebuchet MS"/>
      <family val="2"/>
    </font>
    <font>
      <sz val="12"/>
      <color theme="1"/>
      <name val="Trebuchet MS"/>
      <family val="2"/>
    </font>
    <font>
      <sz val="12"/>
      <color theme="1"/>
      <name val="Helvetica_ce_55_romanregular"/>
    </font>
    <font>
      <sz val="24"/>
      <color theme="3"/>
      <name val="Helvetica_ce_55_romanregular"/>
    </font>
    <font>
      <b/>
      <sz val="12"/>
      <color theme="1" tint="0.249977111117893"/>
      <name val="Trebuchet MS"/>
      <family val="2"/>
    </font>
    <font>
      <sz val="12"/>
      <color theme="0"/>
      <name val="Trebuchet MS"/>
      <family val="2"/>
    </font>
    <font>
      <b/>
      <sz val="12"/>
      <color theme="0"/>
      <name val="Trebuchet MS"/>
      <family val="2"/>
    </font>
    <font>
      <sz val="8"/>
      <color theme="1"/>
      <name val="Helvetica_ce_55_romanregular"/>
    </font>
    <font>
      <b/>
      <sz val="12"/>
      <color theme="1"/>
      <name val="Trebuchet MS"/>
      <family val="2"/>
    </font>
    <font>
      <b/>
      <sz val="12"/>
      <color theme="1" tint="0.249977111117893"/>
      <name val="Helvetica_ce_55_romanregular"/>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2" tint="-0.749992370372631"/>
        <bgColor indexed="64"/>
      </patternFill>
    </fill>
  </fills>
  <borders count="14">
    <border>
      <left/>
      <right/>
      <top/>
      <bottom/>
      <diagonal/>
    </border>
    <border>
      <left/>
      <right/>
      <top/>
      <bottom style="thin">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9">
    <xf numFmtId="0" fontId="0" fillId="0" borderId="0" xfId="0"/>
    <xf numFmtId="0" fontId="1" fillId="0" borderId="0" xfId="0" applyFont="1"/>
    <xf numFmtId="0" fontId="3" fillId="0" borderId="0" xfId="0" applyFont="1" applyAlignment="1">
      <alignment horizontal="left" wrapText="1"/>
    </xf>
    <xf numFmtId="0" fontId="3" fillId="2" borderId="0" xfId="0" applyFont="1" applyFill="1" applyAlignment="1">
      <alignment horizontal="left" wrapText="1"/>
    </xf>
    <xf numFmtId="0" fontId="0" fillId="2" borderId="0" xfId="0" applyFill="1"/>
    <xf numFmtId="0" fontId="0" fillId="2" borderId="1" xfId="0" applyFill="1" applyBorder="1"/>
    <xf numFmtId="0" fontId="0" fillId="2" borderId="0" xfId="0" applyFill="1" applyBorder="1"/>
    <xf numFmtId="0" fontId="5" fillId="2" borderId="0" xfId="0" applyFont="1" applyFill="1" applyAlignment="1">
      <alignment vertical="center"/>
    </xf>
    <xf numFmtId="0" fontId="5" fillId="2" borderId="0" xfId="0" applyFont="1" applyFill="1" applyAlignment="1">
      <alignment horizontal="center" vertical="center"/>
    </xf>
    <xf numFmtId="0" fontId="9" fillId="2" borderId="0" xfId="0" applyFont="1" applyFill="1" applyAlignment="1">
      <alignment horizontal="left"/>
    </xf>
    <xf numFmtId="0" fontId="14" fillId="2" borderId="0" xfId="0" applyFont="1" applyFill="1" applyAlignment="1">
      <alignment horizontal="left"/>
    </xf>
    <xf numFmtId="0" fontId="0" fillId="4" borderId="0" xfId="0" applyFill="1"/>
    <xf numFmtId="0" fontId="4" fillId="4" borderId="0" xfId="0" applyFont="1" applyFill="1"/>
    <xf numFmtId="0" fontId="1" fillId="2" borderId="0" xfId="0" applyFont="1" applyFill="1"/>
    <xf numFmtId="0" fontId="4" fillId="4" borderId="0" xfId="0" applyFont="1" applyFill="1" applyAlignment="1">
      <alignment wrapText="1"/>
    </xf>
    <xf numFmtId="0" fontId="5" fillId="5" borderId="0" xfId="0" applyFont="1" applyFill="1" applyAlignment="1">
      <alignment horizontal="left" vertical="center"/>
    </xf>
    <xf numFmtId="0" fontId="13" fillId="2" borderId="2" xfId="0" applyFont="1" applyFill="1" applyBorder="1" applyAlignment="1">
      <alignment vertical="center"/>
    </xf>
    <xf numFmtId="0" fontId="9" fillId="2" borderId="3" xfId="0" applyFont="1" applyFill="1" applyBorder="1" applyAlignment="1">
      <alignment horizontal="left"/>
    </xf>
    <xf numFmtId="0" fontId="11" fillId="2" borderId="0" xfId="0" applyFont="1" applyFill="1" applyAlignment="1">
      <alignment horizontal="left" vertical="center"/>
    </xf>
    <xf numFmtId="0" fontId="11" fillId="2" borderId="0" xfId="0" applyFont="1" applyFill="1" applyAlignment="1">
      <alignment vertical="center"/>
    </xf>
    <xf numFmtId="0" fontId="5" fillId="5" borderId="0" xfId="0" applyFont="1" applyFill="1" applyAlignment="1">
      <alignment vertical="center"/>
    </xf>
    <xf numFmtId="0" fontId="6" fillId="2" borderId="0" xfId="0" applyFont="1" applyFill="1" applyAlignment="1">
      <alignment vertical="center" wrapText="1"/>
    </xf>
    <xf numFmtId="0" fontId="5" fillId="5" borderId="0" xfId="0" applyFont="1" applyFill="1" applyAlignment="1">
      <alignment horizontal="center" vertical="center"/>
    </xf>
    <xf numFmtId="0" fontId="5" fillId="2" borderId="0" xfId="0" applyFont="1" applyFill="1" applyAlignment="1">
      <alignment vertical="center" wrapText="1"/>
    </xf>
    <xf numFmtId="0" fontId="17" fillId="2" borderId="0" xfId="0" applyFont="1" applyFill="1" applyAlignment="1">
      <alignment horizontal="left" vertical="center"/>
    </xf>
    <xf numFmtId="3" fontId="17" fillId="2" borderId="0" xfId="0" applyNumberFormat="1" applyFont="1" applyFill="1" applyAlignment="1">
      <alignment horizontal="left" vertical="center"/>
    </xf>
    <xf numFmtId="0" fontId="10" fillId="0" borderId="0" xfId="0" applyFont="1" applyAlignment="1">
      <alignment wrapText="1"/>
    </xf>
    <xf numFmtId="0" fontId="3" fillId="2" borderId="0" xfId="0" applyFont="1" applyFill="1" applyAlignment="1">
      <alignment wrapText="1"/>
    </xf>
    <xf numFmtId="0" fontId="12" fillId="2" borderId="0" xfId="0" applyFont="1" applyFill="1" applyAlignment="1">
      <alignment wrapText="1"/>
    </xf>
    <xf numFmtId="0" fontId="2" fillId="2" borderId="0" xfId="0" applyFont="1" applyFill="1" applyAlignment="1">
      <alignment wrapText="1"/>
    </xf>
    <xf numFmtId="0" fontId="5" fillId="2" borderId="2" xfId="0" applyFont="1" applyFill="1" applyBorder="1" applyAlignment="1">
      <alignment vertical="center"/>
    </xf>
    <xf numFmtId="0" fontId="7" fillId="2" borderId="5" xfId="0" applyFont="1" applyFill="1" applyBorder="1" applyAlignment="1">
      <alignment wrapText="1"/>
    </xf>
    <xf numFmtId="0" fontId="23" fillId="2" borderId="0" xfId="0" applyFont="1" applyFill="1" applyAlignment="1"/>
    <xf numFmtId="0" fontId="23" fillId="2" borderId="0" xfId="0" applyFont="1" applyFill="1" applyAlignment="1">
      <alignment wrapText="1"/>
    </xf>
    <xf numFmtId="3" fontId="25" fillId="6" borderId="9" xfId="0" applyNumberFormat="1" applyFont="1" applyFill="1" applyBorder="1" applyAlignment="1">
      <alignment horizontal="left" vertical="center"/>
    </xf>
    <xf numFmtId="0" fontId="26" fillId="6" borderId="0" xfId="0" applyFont="1" applyFill="1" applyBorder="1" applyAlignment="1">
      <alignment vertical="center"/>
    </xf>
    <xf numFmtId="3" fontId="25" fillId="6" borderId="0" xfId="0" applyNumberFormat="1" applyFont="1" applyFill="1" applyBorder="1" applyAlignment="1">
      <alignment horizontal="left" vertical="center"/>
    </xf>
    <xf numFmtId="0" fontId="26" fillId="6" borderId="9" xfId="0" applyFont="1" applyFill="1" applyBorder="1" applyAlignment="1">
      <alignment vertical="center"/>
    </xf>
    <xf numFmtId="0" fontId="26" fillId="6" borderId="11" xfId="0" applyFont="1" applyFill="1" applyBorder="1" applyAlignment="1">
      <alignment vertical="center"/>
    </xf>
    <xf numFmtId="0" fontId="27" fillId="6" borderId="6" xfId="0" applyFont="1" applyFill="1" applyBorder="1"/>
    <xf numFmtId="0" fontId="27" fillId="6" borderId="7" xfId="0" applyFont="1" applyFill="1" applyBorder="1"/>
    <xf numFmtId="0" fontId="27" fillId="6" borderId="8" xfId="0" applyFont="1" applyFill="1" applyBorder="1"/>
    <xf numFmtId="0" fontId="27" fillId="6" borderId="0" xfId="0" applyFont="1" applyFill="1" applyBorder="1"/>
    <xf numFmtId="0" fontId="27" fillId="6" borderId="10" xfId="0" applyFont="1" applyFill="1" applyBorder="1"/>
    <xf numFmtId="0" fontId="27" fillId="6" borderId="9" xfId="0" applyFont="1" applyFill="1" applyBorder="1"/>
    <xf numFmtId="0" fontId="27" fillId="6" borderId="12" xfId="0" applyFont="1" applyFill="1" applyBorder="1"/>
    <xf numFmtId="0" fontId="27" fillId="6" borderId="13" xfId="0" applyFont="1" applyFill="1" applyBorder="1"/>
    <xf numFmtId="0" fontId="2" fillId="2" borderId="0" xfId="0" applyFont="1" applyFill="1" applyBorder="1" applyAlignment="1">
      <alignment wrapText="1"/>
    </xf>
    <xf numFmtId="0" fontId="0" fillId="0" borderId="0" xfId="0" applyBorder="1"/>
    <xf numFmtId="0" fontId="28" fillId="2" borderId="0" xfId="0" applyFont="1" applyFill="1" applyBorder="1" applyAlignment="1">
      <alignment vertical="center"/>
    </xf>
    <xf numFmtId="3" fontId="28" fillId="2" borderId="0" xfId="0" applyNumberFormat="1" applyFont="1" applyFill="1" applyBorder="1" applyAlignment="1">
      <alignment horizontal="left" vertical="center"/>
    </xf>
    <xf numFmtId="0" fontId="28" fillId="2" borderId="0" xfId="0" applyFont="1" applyFill="1" applyBorder="1" applyAlignment="1">
      <alignment horizontal="left" vertical="center"/>
    </xf>
    <xf numFmtId="0" fontId="0" fillId="2" borderId="0" xfId="0" applyFill="1" applyProtection="1"/>
    <xf numFmtId="0" fontId="2" fillId="2" borderId="0" xfId="0" applyFont="1" applyFill="1" applyBorder="1" applyAlignment="1" applyProtection="1">
      <alignment wrapText="1"/>
    </xf>
    <xf numFmtId="0" fontId="13" fillId="3" borderId="0" xfId="0" applyFont="1" applyFill="1" applyAlignment="1" applyProtection="1">
      <alignment horizontal="left" vertical="center"/>
      <protection locked="0"/>
    </xf>
    <xf numFmtId="9" fontId="13" fillId="3" borderId="0" xfId="0" applyNumberFormat="1" applyFont="1" applyFill="1" applyAlignment="1" applyProtection="1">
      <alignment horizontal="left" vertical="center"/>
      <protection locked="0"/>
    </xf>
    <xf numFmtId="0" fontId="0" fillId="0" borderId="0" xfId="0" applyProtection="1"/>
    <xf numFmtId="0" fontId="3" fillId="2" borderId="0" xfId="0" applyFont="1" applyFill="1" applyAlignment="1" applyProtection="1">
      <alignment horizontal="left" wrapText="1"/>
    </xf>
    <xf numFmtId="0" fontId="0" fillId="4" borderId="0" xfId="0" applyFill="1" applyProtection="1"/>
    <xf numFmtId="0" fontId="4" fillId="4" borderId="0" xfId="0" applyFont="1" applyFill="1" applyProtection="1"/>
    <xf numFmtId="0" fontId="5" fillId="2" borderId="0" xfId="0" applyFont="1" applyFill="1" applyAlignment="1" applyProtection="1">
      <alignment vertical="center"/>
    </xf>
    <xf numFmtId="3" fontId="13" fillId="3" borderId="0" xfId="0" applyNumberFormat="1" applyFont="1" applyFill="1" applyAlignment="1" applyProtection="1">
      <alignment horizontal="left" vertical="center"/>
    </xf>
    <xf numFmtId="0" fontId="0" fillId="2" borderId="1" xfId="0" applyFill="1" applyBorder="1" applyProtection="1"/>
    <xf numFmtId="0" fontId="5" fillId="2" borderId="0" xfId="0" applyFont="1" applyFill="1" applyAlignment="1" applyProtection="1">
      <alignment vertical="center" wrapText="1"/>
    </xf>
    <xf numFmtId="0" fontId="11" fillId="2" borderId="0" xfId="0" applyFont="1" applyFill="1" applyAlignment="1" applyProtection="1">
      <alignment vertical="center"/>
    </xf>
    <xf numFmtId="3" fontId="17" fillId="2" borderId="0" xfId="0" applyNumberFormat="1" applyFont="1" applyFill="1" applyAlignment="1" applyProtection="1">
      <alignment horizontal="left" vertical="center"/>
    </xf>
    <xf numFmtId="10" fontId="24" fillId="0" borderId="0" xfId="0" applyNumberFormat="1" applyFont="1"/>
    <xf numFmtId="10" fontId="24" fillId="0" borderId="0" xfId="0" applyNumberFormat="1" applyFont="1" applyProtection="1"/>
    <xf numFmtId="0" fontId="29" fillId="0" borderId="0" xfId="0" applyFont="1" applyAlignment="1"/>
    <xf numFmtId="3" fontId="30" fillId="6" borderId="0" xfId="0" applyNumberFormat="1" applyFont="1" applyFill="1" applyBorder="1" applyAlignment="1">
      <alignment horizontal="left"/>
    </xf>
    <xf numFmtId="0" fontId="30" fillId="6" borderId="0" xfId="0" applyFont="1" applyFill="1" applyBorder="1"/>
    <xf numFmtId="3" fontId="13" fillId="3" borderId="4" xfId="0" applyNumberFormat="1" applyFont="1" applyFill="1" applyBorder="1" applyAlignment="1">
      <alignment horizontal="left" vertical="center"/>
    </xf>
    <xf numFmtId="37" fontId="13" fillId="3" borderId="4" xfId="0" applyNumberFormat="1" applyFont="1" applyFill="1" applyBorder="1" applyAlignment="1">
      <alignment horizontal="left" vertical="center"/>
    </xf>
    <xf numFmtId="0" fontId="27" fillId="6" borderId="0" xfId="0" applyFont="1" applyFill="1" applyBorder="1" applyAlignment="1">
      <alignment horizontal="left" vertical="center"/>
    </xf>
    <xf numFmtId="0" fontId="31" fillId="7" borderId="9" xfId="0" applyFont="1" applyFill="1" applyBorder="1" applyAlignment="1">
      <alignment vertical="center"/>
    </xf>
    <xf numFmtId="0" fontId="31" fillId="7" borderId="0" xfId="0" applyFont="1" applyFill="1" applyBorder="1"/>
    <xf numFmtId="0" fontId="31" fillId="7" borderId="10" xfId="0" applyFont="1" applyFill="1" applyBorder="1"/>
    <xf numFmtId="3" fontId="32" fillId="7" borderId="9" xfId="0" applyNumberFormat="1" applyFont="1" applyFill="1" applyBorder="1" applyAlignment="1">
      <alignment horizontal="left" vertical="center"/>
    </xf>
    <xf numFmtId="0" fontId="32" fillId="7" borderId="0" xfId="0" applyFont="1" applyFill="1" applyBorder="1"/>
    <xf numFmtId="3" fontId="32" fillId="7" borderId="0" xfId="0" applyNumberFormat="1" applyFont="1" applyFill="1" applyBorder="1" applyAlignment="1">
      <alignment horizontal="left"/>
    </xf>
    <xf numFmtId="0" fontId="31" fillId="7" borderId="11" xfId="0" applyFont="1" applyFill="1" applyBorder="1" applyAlignment="1">
      <alignment vertical="center"/>
    </xf>
    <xf numFmtId="0" fontId="31" fillId="7" borderId="12" xfId="0" applyFont="1" applyFill="1" applyBorder="1"/>
    <xf numFmtId="0" fontId="31" fillId="7" borderId="13" xfId="0" applyFont="1" applyFill="1" applyBorder="1"/>
    <xf numFmtId="37" fontId="13" fillId="2" borderId="4" xfId="0" applyNumberFormat="1" applyFont="1" applyFill="1" applyBorder="1" applyAlignment="1">
      <alignment horizontal="left" vertical="center"/>
    </xf>
    <xf numFmtId="3" fontId="13" fillId="3" borderId="4" xfId="0" applyNumberFormat="1" applyFont="1" applyFill="1" applyBorder="1" applyAlignment="1" applyProtection="1">
      <alignment horizontal="left" vertical="center"/>
      <protection locked="0"/>
    </xf>
    <xf numFmtId="0" fontId="0" fillId="2" borderId="0" xfId="0" applyFill="1" applyAlignment="1">
      <alignment wrapText="1"/>
    </xf>
    <xf numFmtId="3" fontId="30" fillId="6" borderId="0" xfId="0" applyNumberFormat="1" applyFont="1" applyFill="1" applyBorder="1" applyAlignment="1">
      <alignment horizontal="left"/>
    </xf>
    <xf numFmtId="164" fontId="13" fillId="2" borderId="2" xfId="0" applyNumberFormat="1" applyFont="1" applyFill="1" applyBorder="1" applyAlignment="1">
      <alignment horizontal="left" vertical="center"/>
    </xf>
    <xf numFmtId="0" fontId="13" fillId="2" borderId="4" xfId="0" applyFont="1" applyFill="1" applyBorder="1" applyAlignment="1">
      <alignment vertical="center" wrapText="1"/>
    </xf>
    <xf numFmtId="3" fontId="30" fillId="6" borderId="0" xfId="0" applyNumberFormat="1" applyFont="1" applyFill="1" applyBorder="1" applyAlignment="1">
      <alignment horizontal="left" vertical="top"/>
    </xf>
    <xf numFmtId="164" fontId="25" fillId="6" borderId="0" xfId="0" applyNumberFormat="1" applyFont="1" applyFill="1" applyBorder="1" applyAlignment="1">
      <alignment horizontal="left" vertical="top"/>
    </xf>
    <xf numFmtId="0" fontId="34" fillId="6" borderId="0" xfId="0" applyFont="1" applyFill="1" applyBorder="1"/>
    <xf numFmtId="164" fontId="32" fillId="7" borderId="0" xfId="0" applyNumberFormat="1" applyFont="1" applyFill="1" applyBorder="1" applyAlignment="1">
      <alignment horizontal="left" vertical="top"/>
    </xf>
    <xf numFmtId="3" fontId="32" fillId="7" borderId="0" xfId="0" applyNumberFormat="1" applyFont="1" applyFill="1" applyBorder="1" applyAlignment="1">
      <alignment horizontal="left" vertical="top"/>
    </xf>
    <xf numFmtId="1" fontId="35" fillId="2" borderId="0" xfId="0" applyNumberFormat="1" applyFont="1" applyFill="1" applyAlignment="1">
      <alignment horizontal="left" vertical="center"/>
    </xf>
    <xf numFmtId="0" fontId="0" fillId="0" borderId="0" xfId="0" applyFill="1"/>
    <xf numFmtId="0" fontId="0" fillId="0" borderId="1" xfId="0" applyFill="1" applyBorder="1"/>
    <xf numFmtId="0" fontId="0" fillId="0" borderId="0" xfId="0" applyFill="1" applyBorder="1"/>
    <xf numFmtId="0" fontId="7" fillId="0" borderId="5" xfId="0" applyFont="1" applyFill="1" applyBorder="1" applyAlignment="1">
      <alignment wrapText="1"/>
    </xf>
    <xf numFmtId="0" fontId="24" fillId="0" borderId="0" xfId="0" applyFont="1" applyFill="1"/>
    <xf numFmtId="10" fontId="24" fillId="0" borderId="0" xfId="0" applyNumberFormat="1" applyFont="1" applyFill="1"/>
    <xf numFmtId="0" fontId="12" fillId="2" borderId="0" xfId="0" applyFont="1" applyFill="1" applyAlignment="1">
      <alignment horizontal="left" vertical="center" wrapText="1"/>
    </xf>
    <xf numFmtId="0" fontId="5" fillId="2" borderId="2" xfId="0" applyFont="1" applyFill="1" applyBorder="1" applyAlignment="1" applyProtection="1">
      <alignment horizontal="left" vertical="center"/>
      <protection locked="0"/>
    </xf>
    <xf numFmtId="0" fontId="5" fillId="2" borderId="3" xfId="0" applyFont="1" applyFill="1" applyBorder="1" applyAlignment="1" applyProtection="1">
      <alignment horizontal="left" vertical="center"/>
      <protection locked="0"/>
    </xf>
    <xf numFmtId="0" fontId="5" fillId="2" borderId="4" xfId="0" applyFont="1" applyFill="1" applyBorder="1" applyAlignment="1" applyProtection="1">
      <alignment horizontal="left" vertical="center"/>
      <protection locked="0"/>
    </xf>
    <xf numFmtId="0" fontId="18" fillId="2" borderId="0" xfId="0" applyFont="1" applyFill="1" applyAlignment="1">
      <alignment horizontal="left" vertical="center" wrapText="1"/>
    </xf>
    <xf numFmtId="0" fontId="3" fillId="0" borderId="0" xfId="0" applyFont="1" applyAlignment="1">
      <alignment horizontal="left" wrapText="1"/>
    </xf>
    <xf numFmtId="0" fontId="19" fillId="2" borderId="5" xfId="0" applyFont="1" applyFill="1" applyBorder="1" applyAlignment="1">
      <alignment horizontal="left" vertical="center" wrapText="1"/>
    </xf>
    <xf numFmtId="0" fontId="13" fillId="2" borderId="2" xfId="0" applyFont="1" applyFill="1" applyBorder="1" applyAlignment="1">
      <alignment horizontal="right" vertical="center"/>
    </xf>
    <xf numFmtId="0" fontId="13" fillId="2" borderId="3" xfId="0" applyFont="1" applyFill="1" applyBorder="1" applyAlignment="1">
      <alignment horizontal="right" vertical="center"/>
    </xf>
    <xf numFmtId="0" fontId="4" fillId="4" borderId="0" xfId="0" applyFont="1" applyFill="1" applyAlignment="1">
      <alignment horizontal="left" wrapText="1"/>
    </xf>
    <xf numFmtId="0" fontId="4" fillId="4" borderId="0" xfId="0" applyFont="1" applyFill="1" applyAlignment="1" applyProtection="1">
      <alignment horizontal="left" wrapText="1"/>
    </xf>
    <xf numFmtId="0" fontId="13" fillId="2" borderId="2" xfId="0" applyFont="1" applyFill="1" applyBorder="1" applyAlignment="1" applyProtection="1">
      <alignment horizontal="right" vertical="center" wrapText="1"/>
    </xf>
    <xf numFmtId="0" fontId="13" fillId="2" borderId="3" xfId="0" applyFont="1" applyFill="1" applyBorder="1" applyAlignment="1" applyProtection="1">
      <alignment horizontal="right" vertical="center" wrapText="1"/>
    </xf>
    <xf numFmtId="0" fontId="3" fillId="0" borderId="0" xfId="0" applyFont="1" applyAlignment="1" applyProtection="1">
      <alignment horizontal="left" wrapText="1"/>
    </xf>
    <xf numFmtId="0" fontId="15" fillId="2" borderId="0" xfId="0" applyFont="1" applyFill="1" applyAlignment="1" applyProtection="1">
      <alignment horizontal="left" vertical="center" wrapText="1"/>
    </xf>
    <xf numFmtId="0" fontId="33" fillId="2" borderId="0" xfId="0" applyFont="1" applyFill="1" applyBorder="1" applyAlignment="1">
      <alignment horizontal="left" vertical="justify" wrapText="1"/>
    </xf>
    <xf numFmtId="3" fontId="30" fillId="6" borderId="0" xfId="0" applyNumberFormat="1" applyFont="1" applyFill="1" applyBorder="1" applyAlignment="1">
      <alignment horizontal="left"/>
    </xf>
    <xf numFmtId="3" fontId="32" fillId="7" borderId="0" xfId="0" applyNumberFormat="1" applyFont="1" applyFill="1" applyBorder="1" applyAlignment="1">
      <alignment horizontal="left" vertical="center"/>
    </xf>
  </cellXfs>
  <cellStyles count="1">
    <cellStyle name="Normal" xfId="0" builtinId="0"/>
  </cellStyles>
  <dxfs count="20">
    <dxf>
      <font>
        <color theme="2" tint="-0.749961851863155"/>
      </font>
      <fill>
        <patternFill>
          <bgColor theme="2" tint="-0.749961851863155"/>
        </patternFill>
      </fill>
    </dxf>
    <dxf>
      <font>
        <color theme="2" tint="-0.749961851863155"/>
      </font>
      <fill>
        <patternFill>
          <bgColor theme="2" tint="-0.74996185186315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fill>
        <patternFill>
          <bgColor theme="0"/>
        </patternFill>
      </fill>
    </dxf>
    <dxf>
      <font>
        <color theme="0" tint="-0.14996795556505021"/>
      </font>
    </dxf>
    <dxf>
      <font>
        <color theme="0" tint="-0.14996795556505021"/>
      </font>
      <fill>
        <patternFill>
          <bgColor theme="0" tint="-0.14996795556505021"/>
        </patternFill>
      </fill>
    </dxf>
    <dxf>
      <font>
        <color theme="0"/>
      </font>
      <fill>
        <patternFill>
          <bgColor theme="0"/>
        </patternFill>
      </fill>
    </dxf>
    <dxf>
      <font>
        <color theme="0" tint="-0.14996795556505021"/>
      </font>
      <fill>
        <patternFill>
          <bgColor theme="0" tint="-0.14996795556505021"/>
        </patternFill>
      </fill>
    </dxf>
    <dxf>
      <font>
        <color theme="0" tint="-0.14996795556505021"/>
      </font>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Future Value'!F12"/></Relationships>
</file>

<file path=xl/drawings/_rels/drawing2.xml.rels><?xml version="1.0" encoding="UTF-8" standalone="yes"?>
<Relationships xmlns="http://schemas.openxmlformats.org/package/2006/relationships"><Relationship Id="rId2" Type="http://schemas.openxmlformats.org/officeDocument/2006/relationships/hyperlink" Target="#Name!D14"/><Relationship Id="rId1" Type="http://schemas.openxmlformats.org/officeDocument/2006/relationships/hyperlink" Target="#'Retirement Corpus'!F16"/></Relationships>
</file>

<file path=xl/drawings/_rels/drawing3.xml.rels><?xml version="1.0" encoding="UTF-8" standalone="yes"?>
<Relationships xmlns="http://schemas.openxmlformats.org/package/2006/relationships"><Relationship Id="rId2" Type="http://schemas.openxmlformats.org/officeDocument/2006/relationships/hyperlink" Target="#'Invest Per Month'!D19"/><Relationship Id="rId1" Type="http://schemas.openxmlformats.org/officeDocument/2006/relationships/hyperlink" Target="#'Future Value'!D14"/></Relationships>
</file>

<file path=xl/drawings/_rels/drawing4.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Retirement Corpus'!D18"/></Relationships>
</file>

<file path=xl/drawings/drawing1.xml><?xml version="1.0" encoding="utf-8"?>
<xdr:wsDr xmlns:xdr="http://schemas.openxmlformats.org/drawingml/2006/spreadsheetDrawing" xmlns:a="http://schemas.openxmlformats.org/drawingml/2006/main">
  <xdr:twoCellAnchor>
    <xdr:from>
      <xdr:col>3</xdr:col>
      <xdr:colOff>85725</xdr:colOff>
      <xdr:row>11</xdr:row>
      <xdr:rowOff>0</xdr:rowOff>
    </xdr:from>
    <xdr:to>
      <xdr:col>4</xdr:col>
      <xdr:colOff>533400</xdr:colOff>
      <xdr:row>13</xdr:row>
      <xdr:rowOff>123825</xdr:rowOff>
    </xdr:to>
    <xdr:sp macro="" textlink="">
      <xdr:nvSpPr>
        <xdr:cNvPr id="2" name="Pentagon 1">
          <a:hlinkClick xmlns:r="http://schemas.openxmlformats.org/officeDocument/2006/relationships" r:id="rId1"/>
        </xdr:cNvPr>
        <xdr:cNvSpPr/>
      </xdr:nvSpPr>
      <xdr:spPr>
        <a:xfrm>
          <a:off x="180975" y="3133725"/>
          <a:ext cx="1695450" cy="504825"/>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Get Started  &gt;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1053352</xdr:colOff>
      <xdr:row>26</xdr:row>
      <xdr:rowOff>168090</xdr:rowOff>
    </xdr:from>
    <xdr:to>
      <xdr:col>9</xdr:col>
      <xdr:colOff>462802</xdr:colOff>
      <xdr:row>29</xdr:row>
      <xdr:rowOff>0</xdr:rowOff>
    </xdr:to>
    <xdr:sp macro="" textlink="">
      <xdr:nvSpPr>
        <xdr:cNvPr id="5" name="Pentagon 4">
          <a:hlinkClick xmlns:r="http://schemas.openxmlformats.org/officeDocument/2006/relationships" r:id="rId1"/>
        </xdr:cNvPr>
        <xdr:cNvSpPr/>
      </xdr:nvSpPr>
      <xdr:spPr>
        <a:xfrm>
          <a:off x="7070911" y="4605619"/>
          <a:ext cx="1695450" cy="470646"/>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Next &gt;</a:t>
          </a:r>
        </a:p>
      </xdr:txBody>
    </xdr:sp>
    <xdr:clientData/>
  </xdr:twoCellAnchor>
  <xdr:twoCellAnchor>
    <xdr:from>
      <xdr:col>3</xdr:col>
      <xdr:colOff>123264</xdr:colOff>
      <xdr:row>26</xdr:row>
      <xdr:rowOff>168089</xdr:rowOff>
    </xdr:from>
    <xdr:to>
      <xdr:col>3</xdr:col>
      <xdr:colOff>1818714</xdr:colOff>
      <xdr:row>28</xdr:row>
      <xdr:rowOff>212912</xdr:rowOff>
    </xdr:to>
    <xdr:sp macro="" textlink="">
      <xdr:nvSpPr>
        <xdr:cNvPr id="4" name="Pentagon 3">
          <a:hlinkClick xmlns:r="http://schemas.openxmlformats.org/officeDocument/2006/relationships" r:id="rId2"/>
        </xdr:cNvPr>
        <xdr:cNvSpPr/>
      </xdr:nvSpPr>
      <xdr:spPr>
        <a:xfrm rot="10800000" flipV="1">
          <a:off x="425823" y="4605618"/>
          <a:ext cx="1695450" cy="425823"/>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&lt; Back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352425</xdr:colOff>
      <xdr:row>27</xdr:row>
      <xdr:rowOff>0</xdr:rowOff>
    </xdr:from>
    <xdr:to>
      <xdr:col>3</xdr:col>
      <xdr:colOff>2047875</xdr:colOff>
      <xdr:row>28</xdr:row>
      <xdr:rowOff>247650</xdr:rowOff>
    </xdr:to>
    <xdr:sp macro="" textlink="">
      <xdr:nvSpPr>
        <xdr:cNvPr id="2" name="Pentagon 1">
          <a:hlinkClick xmlns:r="http://schemas.openxmlformats.org/officeDocument/2006/relationships" r:id="rId1"/>
        </xdr:cNvPr>
        <xdr:cNvSpPr/>
      </xdr:nvSpPr>
      <xdr:spPr>
        <a:xfrm rot="10800000" flipV="1">
          <a:off x="447675" y="7200900"/>
          <a:ext cx="1695450" cy="504825"/>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&lt; Back </a:t>
          </a:r>
        </a:p>
      </xdr:txBody>
    </xdr:sp>
    <xdr:clientData/>
  </xdr:twoCellAnchor>
  <xdr:twoCellAnchor>
    <xdr:from>
      <xdr:col>7</xdr:col>
      <xdr:colOff>581025</xdr:colOff>
      <xdr:row>27</xdr:row>
      <xdr:rowOff>0</xdr:rowOff>
    </xdr:from>
    <xdr:to>
      <xdr:col>10</xdr:col>
      <xdr:colOff>123825</xdr:colOff>
      <xdr:row>28</xdr:row>
      <xdr:rowOff>247650</xdr:rowOff>
    </xdr:to>
    <xdr:sp macro="" textlink="">
      <xdr:nvSpPr>
        <xdr:cNvPr id="3" name="Pentagon 2">
          <a:hlinkClick xmlns:r="http://schemas.openxmlformats.org/officeDocument/2006/relationships" r:id="rId2"/>
        </xdr:cNvPr>
        <xdr:cNvSpPr/>
      </xdr:nvSpPr>
      <xdr:spPr>
        <a:xfrm>
          <a:off x="4867275" y="7200900"/>
          <a:ext cx="1695450" cy="504825"/>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Next &gt;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257175</xdr:colOff>
      <xdr:row>29</xdr:row>
      <xdr:rowOff>0</xdr:rowOff>
    </xdr:from>
    <xdr:to>
      <xdr:col>3</xdr:col>
      <xdr:colOff>1952625</xdr:colOff>
      <xdr:row>30</xdr:row>
      <xdr:rowOff>247650</xdr:rowOff>
    </xdr:to>
    <xdr:sp macro="" textlink="">
      <xdr:nvSpPr>
        <xdr:cNvPr id="2" name="Pentagon 1">
          <a:hlinkClick xmlns:r="http://schemas.openxmlformats.org/officeDocument/2006/relationships" r:id="rId1"/>
        </xdr:cNvPr>
        <xdr:cNvSpPr/>
      </xdr:nvSpPr>
      <xdr:spPr>
        <a:xfrm rot="10800000" flipV="1">
          <a:off x="352425" y="7029450"/>
          <a:ext cx="1695450" cy="504825"/>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&lt; Back </a:t>
          </a:r>
        </a:p>
      </xdr:txBody>
    </xdr:sp>
    <xdr:clientData/>
  </xdr:twoCellAnchor>
  <xdr:twoCellAnchor>
    <xdr:from>
      <xdr:col>8</xdr:col>
      <xdr:colOff>123825</xdr:colOff>
      <xdr:row>28</xdr:row>
      <xdr:rowOff>247650</xdr:rowOff>
    </xdr:from>
    <xdr:to>
      <xdr:col>10</xdr:col>
      <xdr:colOff>600075</xdr:colOff>
      <xdr:row>30</xdr:row>
      <xdr:rowOff>238125</xdr:rowOff>
    </xdr:to>
    <xdr:sp macro="" textlink="">
      <xdr:nvSpPr>
        <xdr:cNvPr id="3" name="Pentagon 2">
          <a:hlinkClick xmlns:r="http://schemas.openxmlformats.org/officeDocument/2006/relationships" r:id="rId2"/>
        </xdr:cNvPr>
        <xdr:cNvSpPr/>
      </xdr:nvSpPr>
      <xdr:spPr>
        <a:xfrm>
          <a:off x="5619750" y="7019925"/>
          <a:ext cx="1695450" cy="504825"/>
        </a:xfrm>
        <a:prstGeom prst="homePlat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b="1">
              <a:latin typeface="Helvetica_ce_55_romanregular"/>
            </a:rPr>
            <a:t>Next &gt;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O27"/>
  <sheetViews>
    <sheetView showGridLines="0" showRowColHeaders="0" tabSelected="1" workbookViewId="0">
      <selection activeCell="E8" sqref="E8:K8"/>
    </sheetView>
  </sheetViews>
  <sheetFormatPr defaultRowHeight="15"/>
  <cols>
    <col min="1" max="3" width="1.42578125" customWidth="1"/>
    <col min="4" max="4" width="18.7109375" customWidth="1"/>
    <col min="6" max="6" width="18.140625" customWidth="1"/>
    <col min="7" max="7" width="11.140625" customWidth="1"/>
    <col min="8" max="8" width="22.42578125" customWidth="1"/>
    <col min="11" max="14" width="3.140625" customWidth="1"/>
  </cols>
  <sheetData>
    <row r="1" spans="1:15" ht="42" customHeight="1">
      <c r="A1" s="26"/>
      <c r="B1" s="26"/>
      <c r="C1" s="26"/>
      <c r="D1" s="68" t="s">
        <v>22</v>
      </c>
      <c r="E1" s="26"/>
      <c r="F1" s="26"/>
      <c r="G1" s="26"/>
      <c r="H1" s="26"/>
      <c r="I1" s="26"/>
    </row>
    <row r="3" spans="1:15">
      <c r="A3" s="4"/>
      <c r="B3" s="4"/>
      <c r="C3" s="4"/>
      <c r="D3" s="4"/>
      <c r="E3" s="4"/>
      <c r="F3" s="4"/>
      <c r="G3" s="4"/>
      <c r="H3" s="4"/>
      <c r="I3" s="4"/>
      <c r="J3" s="4"/>
      <c r="K3" s="4"/>
      <c r="L3" s="4"/>
      <c r="M3" s="4"/>
      <c r="N3" s="4"/>
      <c r="O3" s="4"/>
    </row>
    <row r="4" spans="1:15" s="1" customFormat="1" ht="26.25" customHeight="1">
      <c r="A4" s="27"/>
      <c r="B4" s="27"/>
      <c r="C4" s="27"/>
      <c r="D4" s="32" t="s">
        <v>0</v>
      </c>
      <c r="E4" s="33"/>
      <c r="F4" s="33"/>
      <c r="G4" s="33"/>
      <c r="H4" s="27"/>
      <c r="I4" s="27"/>
      <c r="J4" s="13"/>
      <c r="K4" s="13"/>
      <c r="L4" s="13"/>
      <c r="M4" s="13"/>
      <c r="N4" s="13"/>
      <c r="O4" s="13"/>
    </row>
    <row r="5" spans="1:15" s="1" customFormat="1" ht="12.75" customHeight="1">
      <c r="A5" s="27"/>
      <c r="B5" s="27"/>
      <c r="C5" s="27"/>
      <c r="D5" s="32"/>
      <c r="E5" s="33"/>
      <c r="F5" s="33"/>
      <c r="G5" s="33"/>
      <c r="H5" s="27"/>
      <c r="I5" s="27"/>
      <c r="J5" s="13"/>
      <c r="K5" s="13"/>
      <c r="L5" s="13"/>
      <c r="M5" s="13"/>
      <c r="N5" s="13"/>
      <c r="O5" s="13"/>
    </row>
    <row r="6" spans="1:15" s="1" customFormat="1" ht="42.75" customHeight="1">
      <c r="A6" s="28"/>
      <c r="B6" s="28"/>
      <c r="C6" s="28"/>
      <c r="D6" s="101" t="s">
        <v>1</v>
      </c>
      <c r="E6" s="101"/>
      <c r="F6" s="101"/>
      <c r="G6" s="101"/>
      <c r="H6" s="101"/>
      <c r="I6" s="101"/>
      <c r="J6" s="101"/>
      <c r="K6" s="101"/>
      <c r="L6" s="29"/>
      <c r="M6" s="29"/>
      <c r="N6" s="13"/>
      <c r="O6" s="13"/>
    </row>
    <row r="7" spans="1:15" ht="15.75" thickBot="1">
      <c r="A7" s="4"/>
      <c r="B7" s="4"/>
      <c r="C7" s="4"/>
      <c r="D7" s="4"/>
      <c r="E7" s="4"/>
      <c r="F7" s="4"/>
      <c r="G7" s="4"/>
      <c r="H7" s="4"/>
      <c r="I7" s="4"/>
      <c r="J7" s="4"/>
      <c r="K7" s="4"/>
      <c r="L7" s="4"/>
      <c r="M7" s="4"/>
      <c r="N7" s="4"/>
      <c r="O7" s="4"/>
    </row>
    <row r="8" spans="1:15" ht="30" customHeight="1" thickBot="1">
      <c r="A8" s="4"/>
      <c r="B8" s="4"/>
      <c r="C8" s="4"/>
      <c r="D8" s="30" t="s">
        <v>14</v>
      </c>
      <c r="E8" s="102"/>
      <c r="F8" s="103"/>
      <c r="G8" s="103"/>
      <c r="H8" s="103"/>
      <c r="I8" s="103"/>
      <c r="J8" s="103"/>
      <c r="K8" s="104"/>
      <c r="L8" s="4"/>
      <c r="M8" s="4"/>
      <c r="N8" s="4"/>
      <c r="O8" s="4"/>
    </row>
    <row r="9" spans="1:15">
      <c r="A9" s="52"/>
      <c r="B9" s="52"/>
      <c r="C9" s="52"/>
      <c r="D9" s="52"/>
      <c r="E9" s="52"/>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c r="A11" s="52"/>
      <c r="B11" s="52"/>
      <c r="C11" s="52"/>
      <c r="D11" s="52"/>
      <c r="E11" s="52"/>
      <c r="F11" s="52"/>
      <c r="G11" s="52"/>
      <c r="H11" s="52"/>
      <c r="I11" s="52"/>
      <c r="J11" s="52"/>
      <c r="K11" s="52"/>
      <c r="L11" s="52"/>
      <c r="M11" s="52"/>
      <c r="N11" s="52"/>
      <c r="O11" s="52"/>
    </row>
    <row r="12" spans="1:15">
      <c r="A12" s="4"/>
      <c r="B12" s="4"/>
      <c r="C12" s="4"/>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row r="21" spans="1:15">
      <c r="A21" s="4"/>
      <c r="B21" s="4"/>
      <c r="C21" s="4"/>
      <c r="D21" s="4"/>
      <c r="E21" s="4"/>
      <c r="F21" s="4"/>
      <c r="G21" s="4"/>
      <c r="H21" s="4"/>
      <c r="I21" s="4"/>
      <c r="J21" s="4"/>
      <c r="K21" s="4"/>
      <c r="L21" s="4"/>
      <c r="M21" s="4"/>
      <c r="N21" s="4"/>
      <c r="O21" s="4"/>
    </row>
    <row r="22" spans="1:15">
      <c r="A22" s="4"/>
      <c r="B22" s="4"/>
      <c r="C22" s="4"/>
      <c r="D22" s="4"/>
      <c r="E22" s="4"/>
      <c r="F22" s="4"/>
      <c r="G22" s="4"/>
      <c r="H22" s="4"/>
      <c r="I22" s="4"/>
      <c r="J22" s="4"/>
      <c r="K22" s="4"/>
      <c r="L22" s="4"/>
      <c r="M22" s="4"/>
      <c r="N22" s="4"/>
      <c r="O22" s="4"/>
    </row>
    <row r="23" spans="1:15">
      <c r="A23" s="4"/>
      <c r="B23" s="4"/>
      <c r="C23" s="4"/>
      <c r="D23" s="4"/>
      <c r="E23" s="4"/>
      <c r="F23" s="4"/>
      <c r="G23" s="4"/>
      <c r="H23" s="4"/>
      <c r="I23" s="4"/>
      <c r="J23" s="4"/>
      <c r="K23" s="4"/>
      <c r="L23" s="4"/>
      <c r="M23" s="4"/>
      <c r="N23" s="4"/>
      <c r="O23" s="4"/>
    </row>
    <row r="24" spans="1:15">
      <c r="A24" s="4"/>
      <c r="B24" s="4"/>
      <c r="C24" s="4"/>
      <c r="D24" s="4"/>
      <c r="E24" s="4"/>
      <c r="F24" s="4"/>
      <c r="G24" s="4"/>
      <c r="H24" s="4"/>
      <c r="I24" s="4"/>
      <c r="J24" s="4"/>
      <c r="K24" s="4"/>
      <c r="L24" s="4"/>
      <c r="M24" s="4"/>
      <c r="N24" s="4"/>
      <c r="O24" s="4"/>
    </row>
    <row r="25" spans="1:15">
      <c r="A25" s="4"/>
      <c r="B25" s="4"/>
      <c r="C25" s="4"/>
      <c r="D25" s="4"/>
      <c r="E25" s="4"/>
      <c r="F25" s="4"/>
      <c r="G25" s="4"/>
      <c r="H25" s="4"/>
      <c r="I25" s="4"/>
      <c r="J25" s="4"/>
      <c r="K25" s="4"/>
      <c r="L25" s="4"/>
      <c r="M25" s="4"/>
      <c r="N25" s="4"/>
      <c r="O25" s="4"/>
    </row>
    <row r="26" spans="1:15">
      <c r="A26" s="4"/>
      <c r="B26" s="4"/>
      <c r="C26" s="4"/>
      <c r="D26" s="4"/>
      <c r="E26" s="4"/>
      <c r="F26" s="4"/>
      <c r="G26" s="4"/>
      <c r="H26" s="4"/>
      <c r="I26" s="4"/>
      <c r="J26" s="4"/>
      <c r="K26" s="4"/>
      <c r="L26" s="4"/>
      <c r="M26" s="4"/>
      <c r="N26" s="4"/>
      <c r="O26" s="4"/>
    </row>
    <row r="27" spans="1:15">
      <c r="A27" s="4"/>
      <c r="B27" s="4"/>
      <c r="C27" s="4"/>
      <c r="D27" s="4"/>
      <c r="E27" s="4"/>
      <c r="F27" s="4"/>
      <c r="G27" s="4"/>
      <c r="H27" s="4"/>
      <c r="I27" s="4"/>
      <c r="J27" s="4"/>
      <c r="K27" s="4"/>
      <c r="L27" s="4"/>
      <c r="M27" s="4"/>
      <c r="N27" s="4"/>
      <c r="O27" s="4"/>
    </row>
  </sheetData>
  <sheetProtection password="C1E3" sheet="1" objects="1" scenarios="1" selectLockedCells="1"/>
  <mergeCells count="2">
    <mergeCell ref="D6:K6"/>
    <mergeCell ref="E8:K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T44"/>
  <sheetViews>
    <sheetView showGridLines="0" showRowColHeaders="0" zoomScale="85" zoomScaleNormal="85" workbookViewId="0">
      <selection activeCell="F21" sqref="F21"/>
    </sheetView>
  </sheetViews>
  <sheetFormatPr defaultRowHeight="15"/>
  <cols>
    <col min="1" max="3" width="1.42578125" customWidth="1"/>
    <col min="4" max="4" width="28.5703125" customWidth="1"/>
    <col min="6" max="6" width="22.7109375" customWidth="1"/>
    <col min="7" max="7" width="25.42578125" customWidth="1"/>
    <col min="8" max="8" width="12.140625" customWidth="1"/>
    <col min="11" max="15" width="3.140625" customWidth="1"/>
    <col min="17" max="17" width="1.85546875" customWidth="1"/>
    <col min="18" max="19" width="9.140625" style="95"/>
    <col min="20" max="20" width="9.140625" style="99"/>
  </cols>
  <sheetData>
    <row r="1" spans="1:20" ht="6" customHeight="1"/>
    <row r="2" spans="1:20" ht="20.25">
      <c r="D2" s="106" t="s">
        <v>2</v>
      </c>
      <c r="E2" s="106"/>
      <c r="F2" s="106"/>
      <c r="G2" s="106"/>
      <c r="H2" s="106"/>
      <c r="I2" s="106"/>
      <c r="J2" s="106"/>
    </row>
    <row r="3" spans="1:20" ht="7.5" customHeight="1">
      <c r="D3" s="2"/>
      <c r="E3" s="2"/>
      <c r="F3" s="2"/>
      <c r="G3" s="2"/>
      <c r="H3" s="2"/>
      <c r="I3" s="2"/>
      <c r="J3" s="2"/>
    </row>
    <row r="4" spans="1:20" ht="6.75" customHeight="1">
      <c r="A4" s="3"/>
      <c r="B4" s="3"/>
      <c r="C4" s="3"/>
      <c r="D4" s="3"/>
      <c r="E4" s="3"/>
      <c r="F4" s="3"/>
      <c r="G4" s="3"/>
      <c r="H4" s="3"/>
      <c r="I4" s="3"/>
      <c r="J4" s="3"/>
      <c r="K4" s="4"/>
      <c r="L4" s="4"/>
      <c r="M4" s="4"/>
      <c r="N4" s="4"/>
      <c r="O4" s="4"/>
      <c r="P4" s="4"/>
      <c r="Q4" s="4"/>
    </row>
    <row r="5" spans="1:20" ht="20.25">
      <c r="A5" s="3"/>
      <c r="B5" s="3"/>
      <c r="C5" s="3"/>
      <c r="D5" s="11"/>
      <c r="E5" s="11"/>
      <c r="F5" s="11"/>
      <c r="G5" s="11"/>
      <c r="H5" s="11"/>
      <c r="I5" s="11"/>
      <c r="J5" s="11"/>
      <c r="K5" s="11"/>
      <c r="L5" s="11"/>
      <c r="M5" s="11"/>
      <c r="N5" s="11"/>
      <c r="O5" s="11"/>
      <c r="P5" s="11"/>
      <c r="Q5" s="11"/>
    </row>
    <row r="6" spans="1:20" ht="20.25">
      <c r="A6" s="3"/>
      <c r="B6" s="3"/>
      <c r="C6" s="3"/>
      <c r="D6" s="12" t="s">
        <v>3</v>
      </c>
      <c r="E6" s="11"/>
      <c r="F6" s="11"/>
      <c r="G6" s="11"/>
      <c r="H6" s="11"/>
      <c r="I6" s="11"/>
      <c r="J6" s="11"/>
      <c r="K6" s="11"/>
      <c r="L6" s="11"/>
      <c r="M6" s="11"/>
      <c r="N6" s="11"/>
      <c r="O6" s="11"/>
      <c r="P6" s="11"/>
      <c r="Q6" s="11"/>
      <c r="T6" s="100">
        <v>0.01</v>
      </c>
    </row>
    <row r="7" spans="1:20" ht="6.75" customHeight="1">
      <c r="A7" s="3"/>
      <c r="B7" s="3"/>
      <c r="C7" s="3"/>
      <c r="D7" s="12"/>
      <c r="E7" s="11"/>
      <c r="F7" s="11"/>
      <c r="G7" s="11"/>
      <c r="H7" s="11"/>
      <c r="I7" s="11"/>
      <c r="J7" s="11"/>
      <c r="K7" s="11"/>
      <c r="L7" s="11"/>
      <c r="M7" s="11"/>
      <c r="N7" s="11"/>
      <c r="O7" s="11"/>
      <c r="P7" s="11"/>
      <c r="Q7" s="11"/>
      <c r="T7" s="100">
        <f>+T6+1%</f>
        <v>0.02</v>
      </c>
    </row>
    <row r="8" spans="1:20" ht="6.75" customHeight="1">
      <c r="A8" s="3"/>
      <c r="B8" s="3"/>
      <c r="C8" s="3"/>
      <c r="D8" s="12"/>
      <c r="E8" s="11"/>
      <c r="F8" s="11"/>
      <c r="G8" s="11"/>
      <c r="H8" s="11"/>
      <c r="I8" s="11"/>
      <c r="J8" s="11"/>
      <c r="K8" s="11"/>
      <c r="L8" s="11"/>
      <c r="M8" s="11"/>
      <c r="N8" s="11"/>
      <c r="O8" s="11"/>
      <c r="P8" s="11"/>
      <c r="Q8" s="11"/>
      <c r="T8" s="100">
        <f t="shared" ref="T8:T15" si="0">+T7+1%</f>
        <v>0.03</v>
      </c>
    </row>
    <row r="9" spans="1:20" ht="0.75" customHeight="1">
      <c r="A9" s="3"/>
      <c r="B9" s="3"/>
      <c r="C9" s="3"/>
      <c r="D9" s="12"/>
      <c r="E9" s="11"/>
      <c r="F9" s="11"/>
      <c r="G9" s="11"/>
      <c r="H9" s="11"/>
      <c r="I9" s="11"/>
      <c r="J9" s="11"/>
      <c r="K9" s="11"/>
      <c r="L9" s="11"/>
      <c r="M9" s="11"/>
      <c r="N9" s="11"/>
      <c r="O9" s="11"/>
      <c r="P9" s="11"/>
      <c r="Q9" s="11"/>
      <c r="T9" s="100">
        <f t="shared" si="0"/>
        <v>0.04</v>
      </c>
    </row>
    <row r="10" spans="1:20" ht="6.75" customHeight="1">
      <c r="A10" s="3"/>
      <c r="B10" s="3"/>
      <c r="C10" s="3"/>
      <c r="D10" s="4"/>
      <c r="E10" s="4"/>
      <c r="F10" s="4"/>
      <c r="G10" s="4"/>
      <c r="H10" s="4"/>
      <c r="I10" s="4"/>
      <c r="J10" s="4"/>
      <c r="K10" s="4"/>
      <c r="L10" s="4"/>
      <c r="M10" s="4"/>
      <c r="N10" s="4"/>
      <c r="O10" s="4"/>
      <c r="P10" s="4"/>
      <c r="Q10" s="4"/>
      <c r="T10" s="100">
        <f t="shared" si="0"/>
        <v>0.05</v>
      </c>
    </row>
    <row r="11" spans="1:20" ht="6.75" customHeight="1">
      <c r="A11" s="3"/>
      <c r="B11" s="3"/>
      <c r="C11" s="3"/>
      <c r="D11" s="4"/>
      <c r="E11" s="4"/>
      <c r="F11" s="4"/>
      <c r="G11" s="4"/>
      <c r="H11" s="4"/>
      <c r="I11" s="4"/>
      <c r="J11" s="4"/>
      <c r="K11" s="4"/>
      <c r="L11" s="4"/>
      <c r="M11" s="4"/>
      <c r="N11" s="4"/>
      <c r="O11" s="4"/>
      <c r="P11" s="4"/>
      <c r="Q11" s="4"/>
      <c r="T11" s="100">
        <f t="shared" si="0"/>
        <v>6.0000000000000005E-2</v>
      </c>
    </row>
    <row r="12" spans="1:20" ht="20.25">
      <c r="A12" s="3"/>
      <c r="B12" s="3"/>
      <c r="C12" s="3"/>
      <c r="D12" s="7" t="s">
        <v>4</v>
      </c>
      <c r="E12" s="15" t="s">
        <v>7</v>
      </c>
      <c r="F12" s="54"/>
      <c r="G12" s="4"/>
      <c r="H12" s="4"/>
      <c r="I12" s="4"/>
      <c r="J12" s="4"/>
      <c r="K12" s="4"/>
      <c r="L12" s="4"/>
      <c r="M12" s="4"/>
      <c r="N12" s="4"/>
      <c r="O12" s="4"/>
      <c r="P12" s="4"/>
      <c r="Q12" s="4"/>
      <c r="T12" s="100">
        <f t="shared" si="0"/>
        <v>7.0000000000000007E-2</v>
      </c>
    </row>
    <row r="13" spans="1:20" ht="11.25" customHeight="1">
      <c r="A13" s="3"/>
      <c r="B13" s="3"/>
      <c r="C13" s="3"/>
      <c r="D13" s="5"/>
      <c r="E13" s="5"/>
      <c r="F13" s="5"/>
      <c r="G13" s="5"/>
      <c r="H13" s="5"/>
      <c r="I13" s="5"/>
      <c r="J13" s="5"/>
      <c r="K13" s="5"/>
      <c r="L13" s="5"/>
      <c r="M13" s="5"/>
      <c r="N13" s="5"/>
      <c r="O13" s="5"/>
      <c r="P13" s="5"/>
      <c r="Q13" s="5"/>
      <c r="R13" s="96"/>
      <c r="S13" s="96"/>
      <c r="T13" s="100">
        <f t="shared" si="0"/>
        <v>0.08</v>
      </c>
    </row>
    <row r="14" spans="1:20" ht="11.25" customHeight="1">
      <c r="A14" s="3"/>
      <c r="B14" s="3"/>
      <c r="C14" s="3"/>
      <c r="D14" s="6"/>
      <c r="E14" s="6"/>
      <c r="F14" s="6"/>
      <c r="G14" s="4"/>
      <c r="H14" s="6"/>
      <c r="I14" s="6"/>
      <c r="J14" s="6"/>
      <c r="K14" s="6"/>
      <c r="L14" s="6"/>
      <c r="M14" s="6"/>
      <c r="N14" s="6"/>
      <c r="O14" s="6"/>
      <c r="P14" s="6"/>
      <c r="Q14" s="6"/>
      <c r="R14" s="97"/>
      <c r="S14" s="97"/>
      <c r="T14" s="100">
        <f t="shared" si="0"/>
        <v>0.09</v>
      </c>
    </row>
    <row r="15" spans="1:20" ht="20.25">
      <c r="A15" s="3"/>
      <c r="B15" s="3"/>
      <c r="C15" s="3"/>
      <c r="D15" s="7" t="s">
        <v>23</v>
      </c>
      <c r="E15" s="20" t="s">
        <v>7</v>
      </c>
      <c r="F15" s="54"/>
      <c r="G15" s="21" t="s">
        <v>21</v>
      </c>
      <c r="H15" s="94">
        <f>+IF(F15-F12&lt;0,"present age should be less than retirement age",(F15-F12))</f>
        <v>0</v>
      </c>
      <c r="I15" s="4"/>
      <c r="J15" s="4"/>
      <c r="K15" s="4"/>
      <c r="L15" s="4"/>
      <c r="M15" s="4"/>
      <c r="N15" s="4"/>
      <c r="O15" s="4"/>
      <c r="P15" s="4"/>
      <c r="Q15" s="4"/>
      <c r="T15" s="100">
        <f t="shared" si="0"/>
        <v>9.9999999999999992E-2</v>
      </c>
    </row>
    <row r="16" spans="1:20" ht="11.25" customHeight="1">
      <c r="A16" s="3"/>
      <c r="B16" s="3"/>
      <c r="C16" s="3"/>
      <c r="D16" s="5"/>
      <c r="E16" s="5"/>
      <c r="F16" s="5"/>
      <c r="G16" s="5"/>
      <c r="H16" s="5"/>
      <c r="I16" s="5"/>
      <c r="J16" s="5"/>
      <c r="K16" s="5"/>
      <c r="L16" s="5"/>
      <c r="M16" s="5"/>
      <c r="N16" s="5"/>
      <c r="O16" s="5"/>
      <c r="P16" s="5"/>
      <c r="Q16" s="5"/>
      <c r="R16" s="96"/>
      <c r="S16" s="96"/>
    </row>
    <row r="17" spans="1:19" ht="11.25" customHeight="1">
      <c r="A17" s="3"/>
      <c r="B17" s="3"/>
      <c r="C17" s="3"/>
      <c r="D17" s="6"/>
      <c r="E17" s="6"/>
      <c r="F17" s="6"/>
      <c r="G17" s="4"/>
      <c r="H17" s="6"/>
      <c r="I17" s="6"/>
      <c r="J17" s="6"/>
      <c r="K17" s="6"/>
      <c r="L17" s="6"/>
      <c r="M17" s="6"/>
      <c r="N17" s="6"/>
      <c r="O17" s="6"/>
      <c r="P17" s="6"/>
      <c r="Q17" s="6"/>
      <c r="R17" s="97"/>
      <c r="S17" s="97"/>
    </row>
    <row r="18" spans="1:19" ht="20.25">
      <c r="A18" s="3"/>
      <c r="B18" s="3"/>
      <c r="C18" s="3"/>
      <c r="D18" s="7" t="s">
        <v>5</v>
      </c>
      <c r="E18" s="4"/>
      <c r="F18" s="55"/>
      <c r="G18" s="4"/>
      <c r="H18" s="4"/>
      <c r="I18" s="4"/>
      <c r="J18" s="4"/>
      <c r="K18" s="4"/>
      <c r="L18" s="4"/>
      <c r="M18" s="4"/>
      <c r="N18" s="4"/>
      <c r="O18" s="4"/>
      <c r="P18" s="4"/>
      <c r="Q18" s="4"/>
    </row>
    <row r="19" spans="1:19" ht="11.25" customHeight="1">
      <c r="A19" s="3"/>
      <c r="B19" s="3"/>
      <c r="C19" s="3"/>
      <c r="D19" s="5"/>
      <c r="E19" s="5"/>
      <c r="F19" s="5"/>
      <c r="G19" s="5"/>
      <c r="H19" s="5"/>
      <c r="I19" s="5"/>
      <c r="J19" s="5"/>
      <c r="K19" s="5"/>
      <c r="L19" s="5"/>
      <c r="M19" s="5"/>
      <c r="N19" s="5"/>
      <c r="O19" s="5"/>
      <c r="P19" s="5"/>
      <c r="Q19" s="5"/>
      <c r="R19" s="96"/>
      <c r="S19" s="96"/>
    </row>
    <row r="20" spans="1:19" ht="11.25" customHeight="1">
      <c r="A20" s="3"/>
      <c r="B20" s="3"/>
      <c r="C20" s="3"/>
      <c r="D20" s="4"/>
      <c r="E20" s="4"/>
      <c r="F20" s="4"/>
      <c r="G20" s="4"/>
      <c r="H20" s="4"/>
      <c r="I20" s="4"/>
      <c r="J20" s="4"/>
      <c r="K20" s="4"/>
      <c r="L20" s="4"/>
      <c r="M20" s="4"/>
      <c r="N20" s="4"/>
      <c r="O20" s="4"/>
      <c r="P20" s="4"/>
      <c r="Q20" s="4"/>
    </row>
    <row r="21" spans="1:19" ht="20.25">
      <c r="A21" s="3"/>
      <c r="B21" s="3"/>
      <c r="C21" s="3"/>
      <c r="D21" s="8" t="s">
        <v>6</v>
      </c>
      <c r="E21" s="22" t="s">
        <v>8</v>
      </c>
      <c r="F21" s="54"/>
      <c r="G21" s="4"/>
      <c r="H21" s="4"/>
      <c r="I21" s="4"/>
      <c r="J21" s="4"/>
      <c r="K21" s="4"/>
      <c r="L21" s="4"/>
      <c r="M21" s="4"/>
      <c r="N21" s="4"/>
      <c r="O21" s="4"/>
      <c r="P21" s="4"/>
      <c r="Q21" s="4"/>
    </row>
    <row r="22" spans="1:19" ht="11.25" customHeight="1">
      <c r="A22" s="3"/>
      <c r="B22" s="3"/>
      <c r="C22" s="3"/>
      <c r="D22" s="5"/>
      <c r="E22" s="5"/>
      <c r="F22" s="5"/>
      <c r="G22" s="5"/>
      <c r="H22" s="5"/>
      <c r="I22" s="5"/>
      <c r="J22" s="5"/>
      <c r="K22" s="5"/>
      <c r="L22" s="5"/>
      <c r="M22" s="5"/>
      <c r="N22" s="5"/>
      <c r="O22" s="5"/>
      <c r="P22" s="5"/>
      <c r="Q22" s="5"/>
      <c r="R22" s="96"/>
      <c r="S22" s="96"/>
    </row>
    <row r="23" spans="1:19" ht="11.25" customHeight="1" thickBot="1">
      <c r="A23" s="3"/>
      <c r="B23" s="3"/>
      <c r="C23" s="3"/>
      <c r="D23" s="6"/>
      <c r="E23" s="6"/>
      <c r="F23" s="6"/>
      <c r="G23" s="6"/>
      <c r="H23" s="6"/>
      <c r="I23" s="6"/>
      <c r="J23" s="6"/>
      <c r="K23" s="6"/>
      <c r="L23" s="6"/>
      <c r="M23" s="6"/>
      <c r="N23" s="6"/>
      <c r="O23" s="6"/>
      <c r="P23" s="6"/>
      <c r="Q23" s="6"/>
      <c r="R23" s="97"/>
      <c r="S23" s="97"/>
    </row>
    <row r="24" spans="1:19" ht="21.75" thickBot="1">
      <c r="A24" s="3"/>
      <c r="B24" s="3"/>
      <c r="C24" s="3"/>
      <c r="D24" s="16" t="s">
        <v>29</v>
      </c>
      <c r="E24" s="17"/>
      <c r="F24" s="17"/>
      <c r="G24" s="83">
        <f>IFERROR(D34,0)</f>
        <v>0</v>
      </c>
      <c r="H24" s="87">
        <f>G24/10^5</f>
        <v>0</v>
      </c>
      <c r="I24" s="88" t="s">
        <v>33</v>
      </c>
      <c r="J24" s="4"/>
      <c r="K24" s="4"/>
      <c r="L24" s="4"/>
      <c r="M24" s="4"/>
      <c r="N24" s="4"/>
      <c r="O24" s="4"/>
      <c r="P24" s="4"/>
      <c r="Q24" s="4"/>
    </row>
    <row r="25" spans="1:19" ht="11.25" customHeight="1">
      <c r="A25" s="3"/>
      <c r="B25" s="3"/>
      <c r="C25" s="3"/>
      <c r="D25" s="4"/>
      <c r="E25" s="9"/>
      <c r="F25" s="9"/>
      <c r="G25" s="4"/>
      <c r="H25" s="4"/>
      <c r="I25" s="4"/>
      <c r="J25" s="4"/>
      <c r="K25" s="4"/>
      <c r="L25" s="4"/>
      <c r="M25" s="4"/>
      <c r="N25" s="4"/>
      <c r="O25" s="4"/>
      <c r="P25" s="4"/>
      <c r="Q25" s="4"/>
    </row>
    <row r="26" spans="1:19" ht="31.5" customHeight="1">
      <c r="A26" s="3"/>
      <c r="B26" s="3"/>
      <c r="C26" s="3"/>
      <c r="D26" s="105" t="s">
        <v>16</v>
      </c>
      <c r="E26" s="105"/>
      <c r="F26" s="105"/>
      <c r="G26" s="105"/>
      <c r="H26" s="105"/>
      <c r="I26" s="105"/>
      <c r="J26" s="105"/>
      <c r="K26" s="105"/>
      <c r="L26" s="105"/>
      <c r="M26" s="105"/>
      <c r="N26" s="105"/>
      <c r="O26" s="4"/>
      <c r="P26" s="4"/>
      <c r="Q26" s="4"/>
    </row>
    <row r="27" spans="1:19" ht="15" customHeight="1">
      <c r="A27" s="3"/>
      <c r="B27" s="3"/>
      <c r="C27" s="3"/>
      <c r="D27" s="105"/>
      <c r="E27" s="105"/>
      <c r="F27" s="105"/>
      <c r="G27" s="105"/>
      <c r="H27" s="105"/>
      <c r="I27" s="105"/>
      <c r="J27" s="105"/>
      <c r="K27" s="105"/>
      <c r="L27" s="105"/>
      <c r="M27" s="105"/>
      <c r="N27" s="105"/>
      <c r="O27" s="4"/>
      <c r="P27" s="4"/>
      <c r="Q27" s="4"/>
    </row>
    <row r="28" spans="1:19" ht="15" customHeight="1">
      <c r="A28" s="3"/>
      <c r="B28" s="3"/>
      <c r="C28" s="3"/>
      <c r="D28" s="4"/>
      <c r="E28" s="4"/>
      <c r="F28" s="4"/>
      <c r="G28" s="4"/>
      <c r="H28" s="4"/>
      <c r="I28" s="4"/>
      <c r="J28" s="4"/>
      <c r="K28" s="4"/>
      <c r="L28" s="4"/>
      <c r="M28" s="4"/>
      <c r="N28" s="4"/>
      <c r="O28" s="4"/>
      <c r="P28" s="4"/>
      <c r="Q28" s="4"/>
    </row>
    <row r="29" spans="1:19" ht="20.25">
      <c r="A29" s="3"/>
      <c r="B29" s="3"/>
      <c r="C29" s="3"/>
      <c r="D29" s="4"/>
      <c r="E29" s="4"/>
      <c r="F29" s="4"/>
      <c r="G29" s="4"/>
      <c r="H29" s="4"/>
      <c r="I29" s="4"/>
      <c r="J29" s="4"/>
      <c r="K29" s="4"/>
      <c r="L29" s="4"/>
      <c r="M29" s="4"/>
      <c r="N29" s="4"/>
      <c r="O29" s="4"/>
      <c r="P29" s="4"/>
      <c r="Q29" s="4"/>
    </row>
    <row r="30" spans="1:19" ht="10.5" customHeight="1">
      <c r="A30" s="3"/>
      <c r="B30" s="3"/>
      <c r="C30" s="3"/>
      <c r="D30" s="4"/>
      <c r="E30" s="4"/>
      <c r="F30" s="4"/>
      <c r="G30" s="4"/>
      <c r="H30" s="4"/>
      <c r="I30" s="4"/>
      <c r="J30" s="4"/>
      <c r="K30" s="4"/>
      <c r="L30" s="4"/>
      <c r="M30" s="4"/>
      <c r="N30" s="4"/>
      <c r="O30" s="4"/>
      <c r="P30" s="4"/>
      <c r="Q30" s="4"/>
    </row>
    <row r="31" spans="1:19" ht="30.75" customHeight="1">
      <c r="A31" s="3"/>
      <c r="B31" s="3"/>
      <c r="C31" s="3"/>
      <c r="D31" s="107" t="s">
        <v>20</v>
      </c>
      <c r="E31" s="107"/>
      <c r="F31" s="107"/>
      <c r="G31" s="107"/>
      <c r="H31" s="107"/>
      <c r="I31" s="107"/>
      <c r="J31" s="107"/>
      <c r="K31" s="107"/>
      <c r="L31" s="107"/>
      <c r="M31" s="107"/>
      <c r="N31" s="31"/>
      <c r="O31" s="31"/>
      <c r="P31" s="31"/>
      <c r="Q31" s="31"/>
      <c r="R31" s="98"/>
      <c r="S31" s="98"/>
    </row>
    <row r="32" spans="1:19" ht="20.25">
      <c r="A32" s="3"/>
      <c r="B32" s="3"/>
      <c r="C32" s="3"/>
      <c r="D32" s="4"/>
      <c r="E32" s="4"/>
      <c r="F32" s="4"/>
      <c r="G32" s="4"/>
      <c r="H32" s="4"/>
      <c r="I32" s="4"/>
      <c r="J32" s="4"/>
      <c r="K32" s="4"/>
      <c r="L32" s="4"/>
      <c r="M32" s="4"/>
      <c r="N32" s="4"/>
      <c r="O32" s="4"/>
      <c r="P32" s="4"/>
      <c r="Q32" s="4"/>
    </row>
    <row r="33" spans="1:17" ht="36.75" customHeight="1">
      <c r="A33" s="3"/>
      <c r="B33" s="3"/>
      <c r="C33" s="3"/>
      <c r="D33" s="4"/>
      <c r="E33" s="4"/>
      <c r="F33" s="4"/>
      <c r="G33" s="4"/>
      <c r="H33" s="4"/>
      <c r="I33" s="4"/>
      <c r="J33" s="4"/>
      <c r="K33" s="4"/>
      <c r="L33" s="4"/>
      <c r="M33" s="4"/>
      <c r="N33" s="4"/>
      <c r="O33" s="4"/>
      <c r="P33" s="4"/>
      <c r="Q33" s="4"/>
    </row>
    <row r="34" spans="1:17" ht="21">
      <c r="A34" s="3"/>
      <c r="B34" s="3"/>
      <c r="C34" s="3"/>
      <c r="D34" s="10">
        <f>IF(FV(F18/12,H15*12,0,-50000,0)=0," ",FV(F18/12,H15*12,0,-F21,0))</f>
        <v>0</v>
      </c>
      <c r="E34" s="4"/>
      <c r="F34" s="4"/>
      <c r="G34" s="4"/>
      <c r="H34" s="4"/>
      <c r="I34" s="4"/>
      <c r="J34" s="4"/>
      <c r="K34" s="4"/>
      <c r="L34" s="4"/>
      <c r="M34" s="4"/>
      <c r="N34" s="4"/>
      <c r="O34" s="4"/>
      <c r="P34" s="4"/>
      <c r="Q34" s="4"/>
    </row>
    <row r="35" spans="1:17" ht="20.25">
      <c r="A35" s="3"/>
      <c r="B35" s="3"/>
      <c r="C35" s="3"/>
      <c r="D35" s="4"/>
      <c r="E35" s="4"/>
      <c r="F35" s="4"/>
      <c r="G35" s="4"/>
      <c r="H35" s="4"/>
      <c r="I35" s="4"/>
      <c r="J35" s="4"/>
      <c r="K35" s="4"/>
      <c r="L35" s="4"/>
      <c r="M35" s="4"/>
      <c r="N35" s="4"/>
      <c r="O35" s="4"/>
      <c r="P35" s="4"/>
      <c r="Q35" s="4"/>
    </row>
    <row r="36" spans="1:17" ht="20.25">
      <c r="A36" s="3"/>
      <c r="B36" s="3"/>
      <c r="C36" s="3"/>
      <c r="D36" s="4"/>
      <c r="E36" s="4"/>
      <c r="F36" s="4"/>
      <c r="G36" s="4"/>
      <c r="H36" s="4"/>
      <c r="I36" s="4"/>
      <c r="J36" s="4"/>
      <c r="K36" s="4"/>
      <c r="L36" s="4"/>
      <c r="M36" s="4"/>
      <c r="N36" s="4"/>
      <c r="O36" s="4"/>
      <c r="P36" s="4"/>
      <c r="Q36" s="4"/>
    </row>
    <row r="37" spans="1:17" ht="20.25">
      <c r="A37" s="3"/>
      <c r="B37" s="3"/>
      <c r="C37" s="3"/>
      <c r="D37" s="4"/>
      <c r="E37" s="4"/>
      <c r="F37" s="4"/>
      <c r="G37" s="4"/>
      <c r="H37" s="4"/>
      <c r="I37" s="4"/>
      <c r="J37" s="4"/>
      <c r="K37" s="4"/>
      <c r="L37" s="4"/>
      <c r="M37" s="4"/>
      <c r="N37" s="4"/>
      <c r="O37" s="4"/>
      <c r="P37" s="4"/>
      <c r="Q37" s="4"/>
    </row>
    <row r="38" spans="1:17" ht="20.25">
      <c r="A38" s="3"/>
      <c r="B38" s="3"/>
      <c r="C38" s="3"/>
      <c r="D38" s="4"/>
      <c r="E38" s="4"/>
      <c r="F38" s="4"/>
      <c r="G38" s="4"/>
      <c r="H38" s="4"/>
      <c r="I38" s="4"/>
      <c r="J38" s="4"/>
      <c r="K38" s="4"/>
      <c r="L38" s="4"/>
      <c r="M38" s="4"/>
      <c r="N38" s="4"/>
      <c r="O38" s="4"/>
      <c r="P38" s="4"/>
      <c r="Q38" s="4"/>
    </row>
    <row r="39" spans="1:17" ht="20.25">
      <c r="A39" s="3"/>
      <c r="B39" s="3"/>
      <c r="C39" s="3"/>
      <c r="D39" s="4"/>
      <c r="E39" s="4"/>
      <c r="F39" s="4"/>
      <c r="G39" s="4"/>
      <c r="H39" s="4"/>
      <c r="I39" s="4"/>
      <c r="J39" s="4"/>
      <c r="K39" s="4"/>
      <c r="L39" s="4"/>
      <c r="M39" s="4"/>
      <c r="N39" s="4"/>
      <c r="O39" s="4"/>
      <c r="P39" s="4"/>
      <c r="Q39" s="4"/>
    </row>
    <row r="40" spans="1:17" ht="20.25">
      <c r="A40" s="3"/>
      <c r="B40" s="3"/>
      <c r="C40" s="3"/>
      <c r="D40" s="4"/>
      <c r="E40" s="4"/>
      <c r="F40" s="4"/>
      <c r="G40" s="4"/>
      <c r="H40" s="4"/>
      <c r="I40" s="4"/>
      <c r="J40" s="4"/>
      <c r="K40" s="4"/>
      <c r="L40" s="4"/>
      <c r="M40" s="4"/>
      <c r="N40" s="4"/>
      <c r="O40" s="4"/>
      <c r="P40" s="4"/>
      <c r="Q40" s="4"/>
    </row>
    <row r="41" spans="1:17" ht="20.25">
      <c r="A41" s="3"/>
      <c r="B41" s="3"/>
      <c r="C41" s="3"/>
      <c r="D41" s="4"/>
      <c r="E41" s="4"/>
      <c r="F41" s="4"/>
      <c r="G41" s="4"/>
      <c r="H41" s="4"/>
      <c r="I41" s="4"/>
      <c r="J41" s="4"/>
      <c r="K41" s="4"/>
      <c r="L41" s="4"/>
      <c r="M41" s="4"/>
      <c r="N41" s="4"/>
      <c r="O41" s="4"/>
      <c r="P41" s="4"/>
      <c r="Q41" s="4"/>
    </row>
    <row r="42" spans="1:17" ht="20.25">
      <c r="A42" s="3"/>
      <c r="B42" s="3"/>
      <c r="C42" s="3"/>
      <c r="D42" s="4"/>
      <c r="E42" s="4"/>
      <c r="F42" s="4"/>
      <c r="G42" s="4"/>
      <c r="H42" s="4"/>
      <c r="I42" s="4"/>
      <c r="J42" s="4"/>
      <c r="K42" s="4"/>
      <c r="L42" s="4"/>
      <c r="M42" s="4"/>
      <c r="N42" s="4"/>
      <c r="O42" s="4"/>
      <c r="P42" s="4"/>
      <c r="Q42" s="4"/>
    </row>
    <row r="43" spans="1:17" ht="20.25">
      <c r="A43" s="3"/>
      <c r="B43" s="3"/>
      <c r="C43" s="3"/>
      <c r="D43" s="4"/>
      <c r="E43" s="4"/>
      <c r="F43" s="4"/>
      <c r="G43" s="4"/>
      <c r="H43" s="4"/>
      <c r="I43" s="4"/>
      <c r="J43" s="4"/>
      <c r="K43" s="4"/>
      <c r="L43" s="4"/>
      <c r="M43" s="4"/>
      <c r="N43" s="4"/>
      <c r="O43" s="4"/>
      <c r="P43" s="4"/>
      <c r="Q43" s="4"/>
    </row>
    <row r="44" spans="1:17" ht="20.25">
      <c r="A44" s="3"/>
      <c r="B44" s="3"/>
      <c r="C44" s="3"/>
      <c r="D44" s="4"/>
      <c r="E44" s="4"/>
      <c r="F44" s="4"/>
      <c r="G44" s="4"/>
      <c r="H44" s="4"/>
      <c r="I44" s="4"/>
      <c r="J44" s="4"/>
      <c r="K44" s="4"/>
      <c r="L44" s="4"/>
      <c r="M44" s="4"/>
      <c r="N44" s="4"/>
      <c r="O44" s="4"/>
      <c r="P44" s="4"/>
      <c r="Q44" s="4"/>
    </row>
  </sheetData>
  <sheetProtection password="C1E3" sheet="1" objects="1" scenarios="1" selectLockedCells="1"/>
  <mergeCells count="3">
    <mergeCell ref="D26:N27"/>
    <mergeCell ref="D2:J2"/>
    <mergeCell ref="D31:M31"/>
  </mergeCells>
  <conditionalFormatting sqref="G24">
    <cfRule type="cellIs" dxfId="19" priority="4" operator="equal">
      <formula>0</formula>
    </cfRule>
  </conditionalFormatting>
  <conditionalFormatting sqref="H24">
    <cfRule type="cellIs" dxfId="18" priority="3" operator="equal">
      <formula>0</formula>
    </cfRule>
  </conditionalFormatting>
  <conditionalFormatting sqref="H24">
    <cfRule type="cellIs" dxfId="17" priority="2" operator="equal">
      <formula>0</formula>
    </cfRule>
  </conditionalFormatting>
  <conditionalFormatting sqref="I24">
    <cfRule type="expression" dxfId="16" priority="1">
      <formula>$H$24=0</formula>
    </cfRule>
  </conditionalFormatting>
  <dataValidations xWindow="427" yWindow="408" count="1">
    <dataValidation type="list" allowBlank="1" showInputMessage="1" showErrorMessage="1" prompt="Select Rate" sqref="F18">
      <formula1>$T$5:$T$15</formula1>
    </dataValidation>
  </dataValidations>
  <pageMargins left="0.7" right="0.7" top="0.75" bottom="0.75" header="0.3" footer="0.3"/>
  <pageSetup orientation="portrait" r:id="rId1"/>
  <ignoredErrors>
    <ignoredError sqref="D34" evalError="1"/>
  </ignoredErrors>
  <drawing r:id="rId2"/>
</worksheet>
</file>

<file path=xl/worksheets/sheet3.xml><?xml version="1.0" encoding="utf-8"?>
<worksheet xmlns="http://schemas.openxmlformats.org/spreadsheetml/2006/main" xmlns:r="http://schemas.openxmlformats.org/officeDocument/2006/relationships">
  <dimension ref="A1:T57"/>
  <sheetViews>
    <sheetView showGridLines="0" showRowColHeaders="0" zoomScale="85" zoomScaleNormal="85" workbookViewId="0">
      <selection activeCell="F19" sqref="F19"/>
    </sheetView>
  </sheetViews>
  <sheetFormatPr defaultRowHeight="15"/>
  <cols>
    <col min="1" max="3" width="1.42578125" customWidth="1"/>
    <col min="4" max="4" width="37.85546875" customWidth="1"/>
    <col min="6" max="6" width="25.42578125" customWidth="1"/>
    <col min="7" max="7" width="13.140625" customWidth="1"/>
    <col min="8" max="8" width="10.28515625" customWidth="1"/>
    <col min="11" max="11" width="8.140625" customWidth="1"/>
  </cols>
  <sheetData>
    <row r="1" spans="1:20" ht="6" customHeight="1"/>
    <row r="2" spans="1:20" ht="20.25">
      <c r="D2" s="106" t="s">
        <v>2</v>
      </c>
      <c r="E2" s="106"/>
      <c r="F2" s="106"/>
      <c r="G2" s="106"/>
      <c r="H2" s="106"/>
      <c r="I2" s="106"/>
      <c r="J2" s="106"/>
      <c r="T2" s="66">
        <v>0.01</v>
      </c>
    </row>
    <row r="3" spans="1:20" ht="6" customHeight="1">
      <c r="T3" s="66">
        <f>+T2+1%</f>
        <v>0.02</v>
      </c>
    </row>
    <row r="4" spans="1:20" ht="6.75" customHeight="1">
      <c r="A4" s="3"/>
      <c r="B4" s="3"/>
      <c r="C4" s="3"/>
      <c r="D4" s="3"/>
      <c r="E4" s="3"/>
      <c r="F4" s="3"/>
      <c r="G4" s="3"/>
      <c r="H4" s="3"/>
      <c r="I4" s="3"/>
      <c r="J4" s="3"/>
      <c r="K4" s="3"/>
      <c r="L4" s="3"/>
      <c r="M4" s="3"/>
      <c r="N4" s="3"/>
      <c r="T4" s="66">
        <f t="shared" ref="T4:T26" si="0">+T3+1%</f>
        <v>0.03</v>
      </c>
    </row>
    <row r="5" spans="1:20" ht="6.75" hidden="1" customHeight="1">
      <c r="A5" s="3"/>
      <c r="B5" s="3"/>
      <c r="C5" s="3"/>
      <c r="D5" s="11"/>
      <c r="E5" s="11"/>
      <c r="F5" s="11"/>
      <c r="G5" s="11"/>
      <c r="H5" s="11"/>
      <c r="I5" s="11"/>
      <c r="J5" s="11"/>
      <c r="K5" s="11"/>
      <c r="L5" s="11"/>
      <c r="M5" s="11"/>
      <c r="N5" s="11"/>
      <c r="T5" s="66">
        <f t="shared" si="0"/>
        <v>0.04</v>
      </c>
    </row>
    <row r="6" spans="1:20" ht="6.75" customHeight="1">
      <c r="A6" s="3"/>
      <c r="B6" s="3"/>
      <c r="C6" s="3"/>
      <c r="D6" s="11"/>
      <c r="E6" s="11"/>
      <c r="F6" s="11"/>
      <c r="G6" s="11"/>
      <c r="H6" s="11"/>
      <c r="I6" s="11"/>
      <c r="J6" s="11"/>
      <c r="K6" s="11"/>
      <c r="L6" s="11"/>
      <c r="M6" s="11"/>
      <c r="N6" s="11"/>
      <c r="T6" s="66">
        <f t="shared" si="0"/>
        <v>0.05</v>
      </c>
    </row>
    <row r="7" spans="1:20" ht="20.25" customHeight="1">
      <c r="A7" s="3"/>
      <c r="B7" s="3"/>
      <c r="C7" s="3"/>
      <c r="D7" s="110" t="s">
        <v>15</v>
      </c>
      <c r="E7" s="110"/>
      <c r="F7" s="110"/>
      <c r="G7" s="110"/>
      <c r="H7" s="110"/>
      <c r="I7" s="110"/>
      <c r="J7" s="110"/>
      <c r="K7" s="110"/>
      <c r="L7" s="14"/>
      <c r="M7" s="14"/>
      <c r="N7" s="14"/>
      <c r="T7" s="66">
        <f t="shared" si="0"/>
        <v>6.0000000000000005E-2</v>
      </c>
    </row>
    <row r="8" spans="1:20" ht="32.25" customHeight="1">
      <c r="A8" s="3"/>
      <c r="B8" s="3"/>
      <c r="C8" s="3"/>
      <c r="D8" s="110"/>
      <c r="E8" s="110"/>
      <c r="F8" s="110"/>
      <c r="G8" s="110"/>
      <c r="H8" s="110"/>
      <c r="I8" s="110"/>
      <c r="J8" s="110"/>
      <c r="K8" s="110"/>
      <c r="L8" s="14"/>
      <c r="M8" s="14"/>
      <c r="N8" s="14"/>
      <c r="T8" s="66">
        <f t="shared" si="0"/>
        <v>7.0000000000000007E-2</v>
      </c>
    </row>
    <row r="9" spans="1:20" ht="6.75" customHeight="1">
      <c r="A9" s="3"/>
      <c r="B9" s="3"/>
      <c r="C9" s="3"/>
      <c r="D9" s="12"/>
      <c r="E9" s="11"/>
      <c r="F9" s="11"/>
      <c r="G9" s="11"/>
      <c r="H9" s="11"/>
      <c r="I9" s="11"/>
      <c r="J9" s="11"/>
      <c r="K9" s="11"/>
      <c r="L9" s="11"/>
      <c r="M9" s="11"/>
      <c r="N9" s="11"/>
      <c r="T9" s="66">
        <f t="shared" si="0"/>
        <v>0.08</v>
      </c>
    </row>
    <row r="10" spans="1:20" ht="2.25" customHeight="1">
      <c r="A10" s="3"/>
      <c r="B10" s="3"/>
      <c r="C10" s="3"/>
      <c r="D10" s="12"/>
      <c r="E10" s="11"/>
      <c r="F10" s="11"/>
      <c r="G10" s="11"/>
      <c r="H10" s="11"/>
      <c r="I10" s="11"/>
      <c r="J10" s="11"/>
      <c r="K10" s="11"/>
      <c r="L10" s="11"/>
      <c r="M10" s="11"/>
      <c r="N10" s="11"/>
      <c r="T10" s="66">
        <f t="shared" si="0"/>
        <v>0.09</v>
      </c>
    </row>
    <row r="11" spans="1:20" ht="11.25" customHeight="1">
      <c r="A11" s="3"/>
      <c r="B11" s="3"/>
      <c r="C11" s="3"/>
      <c r="D11" s="4"/>
      <c r="E11" s="4"/>
      <c r="F11" s="4"/>
      <c r="G11" s="4"/>
      <c r="H11" s="4"/>
      <c r="I11" s="4"/>
      <c r="J11" s="4"/>
      <c r="K11" s="4"/>
      <c r="L11" s="4"/>
      <c r="M11" s="4"/>
      <c r="N11" s="4"/>
      <c r="T11" s="66">
        <f t="shared" si="0"/>
        <v>9.9999999999999992E-2</v>
      </c>
    </row>
    <row r="12" spans="1:20" ht="11.25" customHeight="1" thickBot="1">
      <c r="A12" s="3"/>
      <c r="B12" s="3"/>
      <c r="C12" s="3"/>
      <c r="D12" s="4"/>
      <c r="E12" s="4"/>
      <c r="F12" s="4"/>
      <c r="G12" s="4"/>
      <c r="H12" s="4"/>
      <c r="I12" s="4"/>
      <c r="J12" s="4"/>
      <c r="K12" s="4"/>
      <c r="L12" s="4"/>
      <c r="M12" s="4"/>
      <c r="N12" s="4"/>
      <c r="T12" s="66">
        <f t="shared" si="0"/>
        <v>0.10999999999999999</v>
      </c>
    </row>
    <row r="13" spans="1:20" ht="31.5" customHeight="1" thickBot="1">
      <c r="A13" s="3"/>
      <c r="B13" s="3"/>
      <c r="C13" s="3"/>
      <c r="D13" s="7" t="s">
        <v>9</v>
      </c>
      <c r="E13" s="20" t="s">
        <v>8</v>
      </c>
      <c r="F13" s="71">
        <f>ROUND('Future Value'!G24,0)</f>
        <v>0</v>
      </c>
      <c r="G13" s="4"/>
      <c r="H13" s="4"/>
      <c r="I13" s="4"/>
      <c r="J13" s="4"/>
      <c r="K13" s="4"/>
      <c r="L13" s="4"/>
      <c r="M13" s="4"/>
      <c r="N13" s="4"/>
      <c r="T13" s="66">
        <f t="shared" si="0"/>
        <v>0.11999999999999998</v>
      </c>
    </row>
    <row r="14" spans="1:20" ht="11.25" customHeight="1">
      <c r="A14" s="3"/>
      <c r="B14" s="3"/>
      <c r="C14" s="3"/>
      <c r="D14" s="5"/>
      <c r="E14" s="5"/>
      <c r="F14" s="5"/>
      <c r="G14" s="5"/>
      <c r="H14" s="5"/>
      <c r="I14" s="5"/>
      <c r="J14" s="5"/>
      <c r="K14" s="5"/>
      <c r="L14" s="5"/>
      <c r="M14" s="5"/>
      <c r="N14" s="5"/>
      <c r="T14" s="66">
        <f t="shared" si="0"/>
        <v>0.12999999999999998</v>
      </c>
    </row>
    <row r="15" spans="1:20" ht="20.25">
      <c r="A15" s="3"/>
      <c r="B15" s="3"/>
      <c r="C15" s="3"/>
      <c r="D15" s="4"/>
      <c r="E15" s="4"/>
      <c r="F15" s="4"/>
      <c r="G15" s="4"/>
      <c r="H15" s="4"/>
      <c r="I15" s="4"/>
      <c r="J15" s="4"/>
      <c r="K15" s="4"/>
      <c r="L15" s="4"/>
      <c r="M15" s="4"/>
      <c r="N15" s="4"/>
      <c r="T15" s="66">
        <f t="shared" si="0"/>
        <v>0.13999999999999999</v>
      </c>
    </row>
    <row r="16" spans="1:20" ht="33" customHeight="1">
      <c r="A16" s="3"/>
      <c r="B16" s="3"/>
      <c r="C16" s="3"/>
      <c r="D16" s="23" t="s">
        <v>26</v>
      </c>
      <c r="E16" s="20" t="s">
        <v>7</v>
      </c>
      <c r="F16" s="54"/>
      <c r="G16" s="7"/>
      <c r="H16" s="7"/>
      <c r="I16" s="7"/>
      <c r="J16" s="7"/>
      <c r="K16" s="4"/>
      <c r="L16" s="4"/>
      <c r="M16" s="4"/>
      <c r="N16" s="4"/>
      <c r="T16" s="66">
        <f t="shared" si="0"/>
        <v>0.15</v>
      </c>
    </row>
    <row r="17" spans="1:20" ht="14.25" customHeight="1">
      <c r="A17" s="3"/>
      <c r="B17" s="3"/>
      <c r="C17" s="3"/>
      <c r="D17" s="5"/>
      <c r="E17" s="5"/>
      <c r="F17" s="5"/>
      <c r="G17" s="5"/>
      <c r="H17" s="5"/>
      <c r="I17" s="5"/>
      <c r="J17" s="5"/>
      <c r="K17" s="5"/>
      <c r="L17" s="5"/>
      <c r="M17" s="5"/>
      <c r="N17" s="5"/>
      <c r="T17" s="66">
        <f t="shared" si="0"/>
        <v>0.16</v>
      </c>
    </row>
    <row r="18" spans="1:20" ht="11.25" customHeight="1">
      <c r="A18" s="3"/>
      <c r="B18" s="3"/>
      <c r="C18" s="3"/>
      <c r="D18" s="4"/>
      <c r="E18" s="4"/>
      <c r="F18" s="4"/>
      <c r="G18" s="4"/>
      <c r="H18" s="4"/>
      <c r="I18" s="4"/>
      <c r="J18" s="4"/>
      <c r="K18" s="4"/>
      <c r="L18" s="4"/>
      <c r="M18" s="4"/>
      <c r="N18" s="4"/>
      <c r="T18" s="66">
        <f t="shared" si="0"/>
        <v>0.17</v>
      </c>
    </row>
    <row r="19" spans="1:20" ht="30" customHeight="1">
      <c r="A19" s="3"/>
      <c r="B19" s="3"/>
      <c r="C19" s="3"/>
      <c r="D19" s="23" t="s">
        <v>10</v>
      </c>
      <c r="E19" s="4"/>
      <c r="F19" s="55"/>
      <c r="G19" s="4"/>
      <c r="H19" s="4"/>
      <c r="I19" s="4"/>
      <c r="J19" s="4"/>
      <c r="K19" s="4"/>
      <c r="L19" s="4"/>
      <c r="M19" s="4"/>
      <c r="N19" s="4"/>
      <c r="T19" s="66">
        <f t="shared" si="0"/>
        <v>0.18000000000000002</v>
      </c>
    </row>
    <row r="20" spans="1:20" ht="11.25" customHeight="1">
      <c r="A20" s="3"/>
      <c r="B20" s="3"/>
      <c r="C20" s="3"/>
      <c r="D20" s="5"/>
      <c r="E20" s="5"/>
      <c r="F20" s="5"/>
      <c r="G20" s="5"/>
      <c r="H20" s="5"/>
      <c r="I20" s="5"/>
      <c r="J20" s="5"/>
      <c r="K20" s="5"/>
      <c r="L20" s="5"/>
      <c r="M20" s="5"/>
      <c r="N20" s="5"/>
      <c r="T20" s="66">
        <f t="shared" si="0"/>
        <v>0.19000000000000003</v>
      </c>
    </row>
    <row r="21" spans="1:20" ht="11.25" customHeight="1" thickBot="1">
      <c r="A21" s="3"/>
      <c r="B21" s="3"/>
      <c r="C21" s="3"/>
      <c r="D21" s="4"/>
      <c r="E21" s="4"/>
      <c r="F21" s="4"/>
      <c r="G21" s="4"/>
      <c r="H21" s="4"/>
      <c r="I21" s="4"/>
      <c r="J21" s="4"/>
      <c r="K21" s="4"/>
      <c r="L21" s="4"/>
      <c r="M21" s="4"/>
      <c r="N21" s="4"/>
      <c r="T21" s="66">
        <f t="shared" si="0"/>
        <v>0.20000000000000004</v>
      </c>
    </row>
    <row r="22" spans="1:20" ht="30" customHeight="1" thickBot="1">
      <c r="A22" s="3"/>
      <c r="B22" s="3"/>
      <c r="C22" s="3"/>
      <c r="D22" s="108" t="s">
        <v>27</v>
      </c>
      <c r="E22" s="109"/>
      <c r="F22" s="83">
        <f>IFERROR(-PV(F19/12,F16*12,F13,0,0),0)</f>
        <v>0</v>
      </c>
      <c r="G22" s="87">
        <f>F22/10^7</f>
        <v>0</v>
      </c>
      <c r="H22" s="88" t="s">
        <v>32</v>
      </c>
      <c r="I22" s="4"/>
      <c r="J22" s="4"/>
      <c r="K22" s="4"/>
      <c r="L22" s="4"/>
      <c r="M22" s="4"/>
      <c r="N22" s="4"/>
      <c r="T22" s="66">
        <f t="shared" si="0"/>
        <v>0.21000000000000005</v>
      </c>
    </row>
    <row r="23" spans="1:20" ht="11.25" customHeight="1">
      <c r="A23" s="3"/>
      <c r="B23" s="3"/>
      <c r="C23" s="3"/>
      <c r="D23" s="4"/>
      <c r="E23" s="4"/>
      <c r="F23" s="4"/>
      <c r="G23" s="4"/>
      <c r="H23" s="4"/>
      <c r="I23" s="4"/>
      <c r="J23" s="4"/>
      <c r="K23" s="4"/>
      <c r="L23" s="4"/>
      <c r="M23" s="4"/>
      <c r="N23" s="4"/>
      <c r="T23" s="66">
        <f t="shared" si="0"/>
        <v>0.22000000000000006</v>
      </c>
    </row>
    <row r="24" spans="1:20" ht="20.25" customHeight="1">
      <c r="A24" s="3"/>
      <c r="B24" s="3"/>
      <c r="C24" s="3"/>
      <c r="D24" s="19" t="str">
        <f>"You have to make sure to have a minimum retirement corpus of Rs. "&amp;ROUND(F22,0)&amp;" to meet your post-retirement regular "</f>
        <v>You have to make sure to have a minimum retirement corpus of Rs. 0 to meet your post-retirement regular </v>
      </c>
      <c r="E24" s="19"/>
      <c r="F24" s="19"/>
      <c r="G24" s="24"/>
      <c r="H24" s="25"/>
      <c r="I24" s="19"/>
      <c r="J24" s="18"/>
      <c r="K24" s="18"/>
      <c r="L24" s="18"/>
      <c r="M24" s="18"/>
      <c r="N24" s="18"/>
      <c r="T24" s="66">
        <f t="shared" si="0"/>
        <v>0.23000000000000007</v>
      </c>
    </row>
    <row r="25" spans="1:20" ht="20.25">
      <c r="A25" s="3"/>
      <c r="B25" s="3"/>
      <c r="C25" s="3"/>
      <c r="D25" s="19" t="s">
        <v>17</v>
      </c>
      <c r="E25" s="18"/>
      <c r="F25" s="18"/>
      <c r="G25" s="18"/>
      <c r="H25" s="18"/>
      <c r="I25" s="18"/>
      <c r="J25" s="18"/>
      <c r="K25" s="18"/>
      <c r="L25" s="18"/>
      <c r="M25" s="18"/>
      <c r="N25" s="18"/>
      <c r="T25" s="66">
        <f t="shared" si="0"/>
        <v>0.24000000000000007</v>
      </c>
    </row>
    <row r="26" spans="1:20" ht="20.25">
      <c r="A26" s="3"/>
      <c r="B26" s="3"/>
      <c r="C26" s="3"/>
      <c r="D26" s="19" t="s">
        <v>18</v>
      </c>
      <c r="E26" s="4"/>
      <c r="F26" s="4"/>
      <c r="G26" s="4"/>
      <c r="H26" s="4"/>
      <c r="I26" s="4"/>
      <c r="J26" s="4"/>
      <c r="K26" s="4"/>
      <c r="L26" s="4"/>
      <c r="M26" s="4"/>
      <c r="N26" s="4"/>
      <c r="T26" s="66">
        <f t="shared" si="0"/>
        <v>0.25000000000000006</v>
      </c>
    </row>
    <row r="27" spans="1:20" ht="9.75" customHeight="1">
      <c r="A27" s="3"/>
      <c r="B27" s="3"/>
      <c r="C27" s="3"/>
      <c r="D27" s="4"/>
      <c r="E27" s="4"/>
      <c r="F27" s="4"/>
      <c r="G27" s="4"/>
      <c r="H27" s="4"/>
      <c r="I27" s="4"/>
      <c r="J27" s="4"/>
      <c r="K27" s="4"/>
      <c r="L27" s="4"/>
      <c r="M27" s="4"/>
      <c r="N27" s="4"/>
    </row>
    <row r="28" spans="1:20" ht="20.25">
      <c r="A28" s="3"/>
      <c r="B28" s="3"/>
      <c r="C28" s="3"/>
      <c r="D28" s="4"/>
      <c r="E28" s="4"/>
      <c r="F28" s="4"/>
      <c r="G28" s="4"/>
      <c r="H28" s="4"/>
      <c r="I28" s="4"/>
      <c r="J28" s="4"/>
      <c r="K28" s="4"/>
      <c r="L28" s="4"/>
      <c r="M28" s="4"/>
      <c r="N28" s="4"/>
    </row>
    <row r="29" spans="1:20" ht="20.25">
      <c r="A29" s="3"/>
      <c r="B29" s="3"/>
      <c r="C29" s="3"/>
      <c r="D29" s="4"/>
      <c r="E29" s="4"/>
      <c r="F29" s="4"/>
      <c r="G29" s="4"/>
      <c r="H29" s="4"/>
      <c r="I29" s="4"/>
      <c r="J29" s="4"/>
      <c r="K29" s="4"/>
      <c r="L29" s="4"/>
      <c r="M29" s="4"/>
      <c r="N29" s="4"/>
    </row>
    <row r="30" spans="1:20" ht="20.25">
      <c r="A30" s="3"/>
      <c r="B30" s="3"/>
      <c r="C30" s="3"/>
      <c r="D30" s="4"/>
      <c r="E30" s="4"/>
      <c r="F30" s="4"/>
      <c r="G30" s="4"/>
      <c r="H30" s="4"/>
      <c r="I30" s="4"/>
      <c r="J30" s="4"/>
      <c r="K30" s="4"/>
      <c r="L30" s="4"/>
      <c r="M30" s="4"/>
      <c r="N30" s="4"/>
    </row>
    <row r="31" spans="1:20" ht="20.25">
      <c r="A31" s="3"/>
      <c r="B31" s="3"/>
      <c r="C31" s="3"/>
      <c r="D31" s="4"/>
      <c r="E31" s="4"/>
      <c r="F31" s="4"/>
      <c r="G31" s="4"/>
      <c r="H31" s="4"/>
      <c r="I31" s="4"/>
      <c r="J31" s="4"/>
      <c r="K31" s="4"/>
      <c r="L31" s="4"/>
      <c r="M31" s="4"/>
      <c r="N31" s="4"/>
    </row>
    <row r="32" spans="1:20" ht="53.25" customHeight="1">
      <c r="A32" s="3"/>
      <c r="B32" s="3"/>
      <c r="C32" s="3"/>
      <c r="D32" s="107" t="s">
        <v>31</v>
      </c>
      <c r="E32" s="107"/>
      <c r="F32" s="107"/>
      <c r="G32" s="107"/>
      <c r="H32" s="107"/>
      <c r="I32" s="107"/>
      <c r="J32" s="107"/>
      <c r="K32" s="107"/>
      <c r="L32" s="107"/>
      <c r="M32" s="107"/>
      <c r="N32" s="31"/>
    </row>
    <row r="33" spans="1:14" ht="20.25">
      <c r="A33" s="3"/>
      <c r="B33" s="3"/>
      <c r="C33" s="3"/>
      <c r="D33" s="4"/>
      <c r="E33" s="4"/>
      <c r="F33" s="4"/>
      <c r="G33" s="4"/>
      <c r="H33" s="4"/>
      <c r="I33" s="4"/>
      <c r="J33" s="4"/>
      <c r="K33" s="4"/>
      <c r="L33" s="4"/>
      <c r="M33" s="4"/>
      <c r="N33" s="4"/>
    </row>
    <row r="34" spans="1:14" ht="20.25">
      <c r="A34" s="3"/>
      <c r="B34" s="3"/>
      <c r="C34" s="3"/>
      <c r="D34" s="4"/>
      <c r="E34" s="4"/>
      <c r="F34" s="4"/>
      <c r="G34" s="4"/>
      <c r="H34" s="4"/>
      <c r="I34" s="4"/>
      <c r="J34" s="4"/>
      <c r="K34" s="4"/>
      <c r="L34" s="4"/>
      <c r="M34" s="4"/>
      <c r="N34" s="4"/>
    </row>
    <row r="35" spans="1:14" ht="20.25">
      <c r="A35" s="3"/>
      <c r="B35" s="3"/>
      <c r="C35" s="3"/>
      <c r="D35" s="4"/>
      <c r="E35" s="4"/>
      <c r="F35" s="4"/>
      <c r="G35" s="4"/>
      <c r="H35" s="4"/>
      <c r="I35" s="4"/>
      <c r="J35" s="4"/>
      <c r="K35" s="4"/>
      <c r="L35" s="4"/>
      <c r="M35" s="4"/>
      <c r="N35" s="4"/>
    </row>
    <row r="36" spans="1:14" ht="20.25">
      <c r="A36" s="3"/>
      <c r="B36" s="3"/>
      <c r="C36" s="3"/>
      <c r="D36" s="4"/>
      <c r="E36" s="4"/>
      <c r="F36" s="4"/>
      <c r="G36" s="4"/>
      <c r="H36" s="4"/>
      <c r="I36" s="4"/>
      <c r="J36" s="4"/>
      <c r="K36" s="4"/>
      <c r="L36" s="4"/>
      <c r="M36" s="4"/>
      <c r="N36" s="4"/>
    </row>
    <row r="37" spans="1:14" ht="20.25">
      <c r="A37" s="3"/>
      <c r="B37" s="3"/>
      <c r="C37" s="3"/>
      <c r="D37" s="4"/>
      <c r="E37" s="4"/>
      <c r="F37" s="4"/>
      <c r="G37" s="4"/>
      <c r="H37" s="4"/>
      <c r="I37" s="4"/>
      <c r="J37" s="4"/>
      <c r="K37" s="4"/>
      <c r="L37" s="4"/>
      <c r="M37" s="4"/>
      <c r="N37" s="4"/>
    </row>
    <row r="38" spans="1:14" ht="20.25">
      <c r="A38" s="3"/>
      <c r="B38" s="3"/>
      <c r="C38" s="3"/>
      <c r="D38" s="4"/>
      <c r="E38" s="4"/>
      <c r="F38" s="4"/>
      <c r="G38" s="4"/>
      <c r="H38" s="4"/>
      <c r="I38" s="4"/>
      <c r="J38" s="4"/>
      <c r="K38" s="4"/>
      <c r="L38" s="4"/>
      <c r="M38" s="4"/>
      <c r="N38" s="4"/>
    </row>
    <row r="39" spans="1:14" ht="20.25">
      <c r="A39" s="3"/>
      <c r="B39" s="3"/>
      <c r="C39" s="3"/>
      <c r="D39" s="4"/>
      <c r="E39" s="4"/>
      <c r="F39" s="4"/>
      <c r="G39" s="4"/>
      <c r="H39" s="4"/>
      <c r="I39" s="4"/>
      <c r="J39" s="4"/>
      <c r="K39" s="4"/>
      <c r="L39" s="4"/>
      <c r="M39" s="4"/>
      <c r="N39" s="4"/>
    </row>
    <row r="40" spans="1:14" ht="20.25">
      <c r="A40" s="3"/>
      <c r="B40" s="3"/>
      <c r="C40" s="3"/>
      <c r="D40" s="4"/>
      <c r="E40" s="4"/>
      <c r="F40" s="4"/>
      <c r="G40" s="4"/>
      <c r="H40" s="4"/>
      <c r="I40" s="4"/>
      <c r="J40" s="4"/>
      <c r="K40" s="4"/>
      <c r="L40" s="4"/>
      <c r="M40" s="4"/>
      <c r="N40" s="4"/>
    </row>
    <row r="41" spans="1:14" ht="20.25">
      <c r="A41" s="3"/>
      <c r="B41" s="3"/>
      <c r="C41" s="3"/>
      <c r="D41" s="4"/>
      <c r="E41" s="4"/>
      <c r="F41" s="4"/>
      <c r="G41" s="4"/>
      <c r="H41" s="4"/>
      <c r="I41" s="4"/>
      <c r="J41" s="4"/>
      <c r="K41" s="4"/>
      <c r="L41" s="4"/>
      <c r="M41" s="4"/>
      <c r="N41" s="4"/>
    </row>
    <row r="42" spans="1:14" ht="20.25">
      <c r="A42" s="3"/>
      <c r="B42" s="3"/>
      <c r="C42" s="3"/>
      <c r="D42" s="4"/>
      <c r="E42" s="4"/>
      <c r="F42" s="4"/>
      <c r="G42" s="4"/>
      <c r="H42" s="4"/>
      <c r="I42" s="4"/>
      <c r="J42" s="4"/>
      <c r="K42" s="4"/>
      <c r="L42" s="4"/>
      <c r="M42" s="4"/>
      <c r="N42" s="4"/>
    </row>
    <row r="43" spans="1:14" ht="20.25">
      <c r="A43" s="3"/>
      <c r="B43" s="3"/>
      <c r="C43" s="3"/>
      <c r="D43" s="4"/>
      <c r="E43" s="4"/>
      <c r="F43" s="4"/>
      <c r="G43" s="4"/>
      <c r="H43" s="4"/>
      <c r="I43" s="4"/>
      <c r="J43" s="4"/>
      <c r="K43" s="4"/>
      <c r="L43" s="4"/>
      <c r="M43" s="4"/>
      <c r="N43" s="4"/>
    </row>
    <row r="44" spans="1:14" ht="20.25">
      <c r="A44" s="3"/>
      <c r="B44" s="3"/>
      <c r="C44" s="3"/>
      <c r="D44" s="4"/>
      <c r="E44" s="4"/>
      <c r="F44" s="4"/>
      <c r="G44" s="4"/>
      <c r="H44" s="4"/>
      <c r="I44" s="4"/>
      <c r="J44" s="4"/>
      <c r="K44" s="4"/>
      <c r="L44" s="4"/>
      <c r="M44" s="4"/>
      <c r="N44" s="4"/>
    </row>
    <row r="45" spans="1:14" ht="20.25">
      <c r="A45" s="3"/>
      <c r="B45" s="3"/>
      <c r="C45" s="3"/>
      <c r="D45" s="4"/>
      <c r="E45" s="4"/>
      <c r="F45" s="4"/>
      <c r="G45" s="4"/>
      <c r="H45" s="4"/>
      <c r="I45" s="4"/>
      <c r="J45" s="4"/>
      <c r="K45" s="4"/>
      <c r="L45" s="4"/>
      <c r="M45" s="4"/>
      <c r="N45" s="4"/>
    </row>
    <row r="46" spans="1:14" ht="20.25">
      <c r="A46" s="3"/>
      <c r="B46" s="3"/>
      <c r="C46" s="3"/>
      <c r="D46" s="4"/>
      <c r="E46" s="4"/>
      <c r="F46" s="4"/>
      <c r="G46" s="4"/>
      <c r="H46" s="4"/>
      <c r="I46" s="4"/>
      <c r="J46" s="4"/>
      <c r="K46" s="4"/>
      <c r="L46" s="4"/>
      <c r="M46" s="4"/>
      <c r="N46" s="4"/>
    </row>
    <row r="47" spans="1:14" ht="20.25">
      <c r="A47" s="3"/>
      <c r="B47" s="3"/>
      <c r="C47" s="3"/>
      <c r="D47" s="4"/>
      <c r="E47" s="4"/>
      <c r="F47" s="4"/>
      <c r="G47" s="4"/>
      <c r="H47" s="4"/>
      <c r="I47" s="4"/>
      <c r="J47" s="4"/>
      <c r="K47" s="4"/>
      <c r="L47" s="4"/>
      <c r="M47" s="4"/>
      <c r="N47" s="4"/>
    </row>
    <row r="48" spans="1:14" ht="20.25">
      <c r="A48" s="3"/>
      <c r="B48" s="3"/>
      <c r="C48" s="3"/>
      <c r="D48" s="4"/>
      <c r="E48" s="4"/>
      <c r="F48" s="4"/>
      <c r="G48" s="4"/>
      <c r="H48" s="4"/>
      <c r="I48" s="4"/>
      <c r="J48" s="4"/>
      <c r="K48" s="4"/>
      <c r="L48" s="4"/>
      <c r="M48" s="4"/>
      <c r="N48" s="4"/>
    </row>
    <row r="49" spans="1:14" ht="20.25">
      <c r="A49" s="3"/>
      <c r="B49" s="3"/>
      <c r="C49" s="3"/>
      <c r="D49" s="4"/>
      <c r="E49" s="4"/>
      <c r="F49" s="4"/>
      <c r="G49" s="4"/>
      <c r="H49" s="4"/>
      <c r="I49" s="4"/>
      <c r="J49" s="4"/>
      <c r="K49" s="4"/>
      <c r="L49" s="4"/>
      <c r="M49" s="4"/>
      <c r="N49" s="4"/>
    </row>
    <row r="50" spans="1:14" ht="20.25">
      <c r="A50" s="3"/>
      <c r="B50" s="3"/>
      <c r="C50" s="3"/>
      <c r="D50" s="4"/>
      <c r="E50" s="4"/>
      <c r="F50" s="4"/>
      <c r="G50" s="4"/>
      <c r="H50" s="4"/>
      <c r="I50" s="4"/>
      <c r="J50" s="4"/>
      <c r="K50" s="4"/>
      <c r="L50" s="4"/>
      <c r="M50" s="4"/>
      <c r="N50" s="4"/>
    </row>
    <row r="51" spans="1:14" ht="20.25">
      <c r="A51" s="3"/>
      <c r="B51" s="3"/>
      <c r="C51" s="3"/>
      <c r="D51" s="4"/>
      <c r="E51" s="4"/>
      <c r="F51" s="4"/>
      <c r="G51" s="4"/>
      <c r="H51" s="4"/>
      <c r="I51" s="4"/>
      <c r="J51" s="4"/>
      <c r="K51" s="4"/>
      <c r="L51" s="4"/>
      <c r="M51" s="4"/>
      <c r="N51" s="4"/>
    </row>
    <row r="52" spans="1:14" ht="20.25">
      <c r="A52" s="3"/>
      <c r="B52" s="3"/>
      <c r="C52" s="3"/>
      <c r="D52" s="4"/>
      <c r="E52" s="4"/>
      <c r="F52" s="4"/>
      <c r="G52" s="4"/>
      <c r="H52" s="4"/>
      <c r="I52" s="4"/>
      <c r="J52" s="4"/>
      <c r="K52" s="4"/>
      <c r="L52" s="4"/>
      <c r="M52" s="4"/>
      <c r="N52" s="4"/>
    </row>
    <row r="53" spans="1:14" ht="20.25">
      <c r="A53" s="3"/>
      <c r="B53" s="3"/>
      <c r="C53" s="3"/>
      <c r="D53" s="4"/>
      <c r="E53" s="4"/>
      <c r="F53" s="4"/>
      <c r="G53" s="4"/>
      <c r="H53" s="4"/>
      <c r="I53" s="4"/>
      <c r="J53" s="4"/>
      <c r="K53" s="4"/>
      <c r="L53" s="4"/>
      <c r="M53" s="4"/>
      <c r="N53" s="4"/>
    </row>
    <row r="54" spans="1:14" ht="20.25">
      <c r="A54" s="3"/>
      <c r="B54" s="3"/>
      <c r="C54" s="3"/>
      <c r="D54" s="4"/>
      <c r="E54" s="4"/>
      <c r="F54" s="4"/>
      <c r="G54" s="4"/>
      <c r="H54" s="4"/>
      <c r="I54" s="4"/>
      <c r="J54" s="4"/>
      <c r="K54" s="4"/>
      <c r="L54" s="4"/>
      <c r="M54" s="4"/>
      <c r="N54" s="4"/>
    </row>
    <row r="55" spans="1:14" ht="20.25">
      <c r="A55" s="3"/>
      <c r="B55" s="3"/>
      <c r="C55" s="3"/>
      <c r="D55" s="4"/>
      <c r="E55" s="4"/>
      <c r="F55" s="4"/>
      <c r="G55" s="4"/>
      <c r="H55" s="4"/>
      <c r="I55" s="4"/>
      <c r="J55" s="4"/>
      <c r="K55" s="4"/>
      <c r="L55" s="4"/>
      <c r="M55" s="4"/>
      <c r="N55" s="4"/>
    </row>
    <row r="56" spans="1:14" ht="20.25">
      <c r="A56" s="3"/>
      <c r="B56" s="3"/>
      <c r="C56" s="3"/>
      <c r="D56" s="4"/>
      <c r="E56" s="4"/>
      <c r="F56" s="4"/>
      <c r="G56" s="4"/>
      <c r="H56" s="4"/>
      <c r="I56" s="4"/>
      <c r="J56" s="4"/>
      <c r="K56" s="4"/>
      <c r="L56" s="4"/>
      <c r="M56" s="4"/>
      <c r="N56" s="4"/>
    </row>
    <row r="57" spans="1:14" ht="20.25">
      <c r="A57" s="3"/>
      <c r="B57" s="3"/>
      <c r="C57" s="3"/>
      <c r="D57" s="4"/>
      <c r="E57" s="4"/>
      <c r="F57" s="4"/>
      <c r="G57" s="4"/>
      <c r="H57" s="4"/>
      <c r="I57" s="4"/>
      <c r="J57" s="4"/>
      <c r="K57" s="4"/>
      <c r="L57" s="4"/>
      <c r="M57" s="4"/>
      <c r="N57" s="4"/>
    </row>
  </sheetData>
  <sheetProtection password="C1E3" sheet="1" objects="1" scenarios="1" selectLockedCells="1"/>
  <mergeCells count="4">
    <mergeCell ref="D2:J2"/>
    <mergeCell ref="D22:E22"/>
    <mergeCell ref="D32:M32"/>
    <mergeCell ref="D7:K8"/>
  </mergeCells>
  <conditionalFormatting sqref="F22">
    <cfRule type="cellIs" dxfId="15" priority="4" operator="equal">
      <formula>0</formula>
    </cfRule>
  </conditionalFormatting>
  <conditionalFormatting sqref="F13">
    <cfRule type="cellIs" dxfId="14" priority="3" operator="equal">
      <formula>0</formula>
    </cfRule>
  </conditionalFormatting>
  <conditionalFormatting sqref="G22">
    <cfRule type="cellIs" dxfId="13" priority="2" operator="equal">
      <formula>0</formula>
    </cfRule>
  </conditionalFormatting>
  <conditionalFormatting sqref="H22">
    <cfRule type="expression" dxfId="12" priority="1">
      <formula>$G$22=0</formula>
    </cfRule>
  </conditionalFormatting>
  <dataValidations count="1">
    <dataValidation type="list" allowBlank="1" showInputMessage="1" showErrorMessage="1" sqref="F19">
      <formula1>$T$1:$T$26</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dimension ref="A1:S37"/>
  <sheetViews>
    <sheetView showGridLines="0" showRowColHeaders="0" topLeftCell="A10" workbookViewId="0">
      <selection activeCell="F19" sqref="F19"/>
    </sheetView>
  </sheetViews>
  <sheetFormatPr defaultRowHeight="15"/>
  <cols>
    <col min="1" max="3" width="1.42578125" style="56" customWidth="1"/>
    <col min="4" max="4" width="47.5703125" style="56" customWidth="1"/>
    <col min="5" max="5" width="9.7109375" style="56" customWidth="1"/>
    <col min="6" max="6" width="22.140625" style="56" customWidth="1"/>
    <col min="7" max="7" width="13.85546875" style="56" customWidth="1"/>
    <col min="8" max="8" width="11.7109375" style="56" customWidth="1"/>
    <col min="9" max="11" width="9.140625" style="56"/>
    <col min="12" max="12" width="6.5703125" style="56" customWidth="1"/>
    <col min="13" max="13" width="9" style="56" customWidth="1"/>
    <col min="14" max="16384" width="9.140625" style="56"/>
  </cols>
  <sheetData>
    <row r="1" spans="1:19" ht="7.5" customHeight="1"/>
    <row r="2" spans="1:19" ht="20.25">
      <c r="D2" s="114" t="s">
        <v>2</v>
      </c>
      <c r="E2" s="114"/>
      <c r="F2" s="114"/>
      <c r="G2" s="114"/>
      <c r="H2" s="114"/>
      <c r="I2" s="114"/>
      <c r="J2" s="114"/>
      <c r="S2" s="67">
        <v>0.01</v>
      </c>
    </row>
    <row r="3" spans="1:19" ht="7.5" customHeight="1">
      <c r="S3" s="67">
        <f>+S2+1%</f>
        <v>0.02</v>
      </c>
    </row>
    <row r="4" spans="1:19" ht="5.25" customHeight="1">
      <c r="A4" s="57"/>
      <c r="B4" s="57"/>
      <c r="C4" s="57"/>
      <c r="D4" s="57"/>
      <c r="E4" s="57"/>
      <c r="F4" s="57"/>
      <c r="G4" s="57"/>
      <c r="H4" s="57"/>
      <c r="I4" s="57"/>
      <c r="J4" s="57"/>
      <c r="K4" s="57"/>
      <c r="L4" s="57"/>
      <c r="M4" s="57"/>
      <c r="S4" s="67">
        <f t="shared" ref="S4:S26" si="0">+S3+1%</f>
        <v>0.03</v>
      </c>
    </row>
    <row r="5" spans="1:19" ht="6.75" customHeight="1">
      <c r="A5" s="57"/>
      <c r="B5" s="57"/>
      <c r="C5" s="57"/>
      <c r="D5" s="58"/>
      <c r="E5" s="58"/>
      <c r="F5" s="58"/>
      <c r="G5" s="58"/>
      <c r="H5" s="58"/>
      <c r="I5" s="58"/>
      <c r="J5" s="58"/>
      <c r="K5" s="58"/>
      <c r="L5" s="58"/>
      <c r="M5" s="58"/>
      <c r="S5" s="67">
        <f t="shared" si="0"/>
        <v>0.04</v>
      </c>
    </row>
    <row r="6" spans="1:19" ht="6.75" customHeight="1">
      <c r="A6" s="57"/>
      <c r="B6" s="57"/>
      <c r="C6" s="57"/>
      <c r="D6" s="58"/>
      <c r="E6" s="58"/>
      <c r="F6" s="58"/>
      <c r="G6" s="58"/>
      <c r="H6" s="58"/>
      <c r="I6" s="58"/>
      <c r="J6" s="58"/>
      <c r="K6" s="58"/>
      <c r="L6" s="58"/>
      <c r="M6" s="58"/>
      <c r="S6" s="67">
        <f t="shared" si="0"/>
        <v>0.05</v>
      </c>
    </row>
    <row r="7" spans="1:19" ht="20.25" customHeight="1">
      <c r="A7" s="57"/>
      <c r="B7" s="57"/>
      <c r="C7" s="57"/>
      <c r="D7" s="111" t="s">
        <v>15</v>
      </c>
      <c r="E7" s="111"/>
      <c r="F7" s="111"/>
      <c r="G7" s="111"/>
      <c r="H7" s="111"/>
      <c r="I7" s="111"/>
      <c r="J7" s="111"/>
      <c r="K7" s="111"/>
      <c r="L7" s="111"/>
      <c r="M7" s="111"/>
      <c r="S7" s="67">
        <f t="shared" si="0"/>
        <v>6.0000000000000005E-2</v>
      </c>
    </row>
    <row r="8" spans="1:19" ht="20.25">
      <c r="A8" s="57"/>
      <c r="B8" s="57"/>
      <c r="C8" s="57"/>
      <c r="D8" s="111"/>
      <c r="E8" s="111"/>
      <c r="F8" s="111"/>
      <c r="G8" s="111"/>
      <c r="H8" s="111"/>
      <c r="I8" s="111"/>
      <c r="J8" s="111"/>
      <c r="K8" s="111"/>
      <c r="L8" s="111"/>
      <c r="M8" s="111"/>
      <c r="S8" s="67">
        <f t="shared" si="0"/>
        <v>7.0000000000000007E-2</v>
      </c>
    </row>
    <row r="9" spans="1:19" ht="2.25" customHeight="1">
      <c r="A9" s="57"/>
      <c r="B9" s="57"/>
      <c r="C9" s="57"/>
      <c r="D9" s="59"/>
      <c r="E9" s="58"/>
      <c r="F9" s="58"/>
      <c r="G9" s="58"/>
      <c r="H9" s="58"/>
      <c r="I9" s="58"/>
      <c r="J9" s="58"/>
      <c r="K9" s="58"/>
      <c r="L9" s="58"/>
      <c r="M9" s="58"/>
      <c r="S9" s="67">
        <f t="shared" si="0"/>
        <v>0.08</v>
      </c>
    </row>
    <row r="10" spans="1:19" ht="6.75" customHeight="1">
      <c r="A10" s="57"/>
      <c r="B10" s="57"/>
      <c r="C10" s="57"/>
      <c r="D10" s="59"/>
      <c r="E10" s="58"/>
      <c r="F10" s="58"/>
      <c r="G10" s="58"/>
      <c r="H10" s="58"/>
      <c r="I10" s="58"/>
      <c r="J10" s="58"/>
      <c r="K10" s="58"/>
      <c r="L10" s="58"/>
      <c r="M10" s="58"/>
      <c r="S10" s="67">
        <f t="shared" si="0"/>
        <v>0.09</v>
      </c>
    </row>
    <row r="11" spans="1:19" ht="11.25" customHeight="1">
      <c r="A11" s="57"/>
      <c r="B11" s="57"/>
      <c r="C11" s="57"/>
      <c r="D11" s="52"/>
      <c r="E11" s="52"/>
      <c r="F11" s="52"/>
      <c r="G11" s="52"/>
      <c r="H11" s="52"/>
      <c r="I11" s="52"/>
      <c r="J11" s="52"/>
      <c r="K11" s="52"/>
      <c r="L11" s="52"/>
      <c r="M11" s="52"/>
      <c r="S11" s="67">
        <f t="shared" si="0"/>
        <v>9.9999999999999992E-2</v>
      </c>
    </row>
    <row r="12" spans="1:19" ht="4.5" customHeight="1" thickBot="1">
      <c r="A12" s="57"/>
      <c r="B12" s="57"/>
      <c r="C12" s="57"/>
      <c r="D12" s="52"/>
      <c r="E12" s="52"/>
      <c r="F12" s="52"/>
      <c r="G12" s="52"/>
      <c r="H12" s="52"/>
      <c r="I12" s="52"/>
      <c r="J12" s="52"/>
      <c r="K12" s="52"/>
      <c r="L12" s="52"/>
      <c r="M12" s="52"/>
      <c r="S12" s="67">
        <f t="shared" si="0"/>
        <v>0.10999999999999999</v>
      </c>
    </row>
    <row r="13" spans="1:19" ht="30.75" customHeight="1" thickBot="1">
      <c r="A13" s="57"/>
      <c r="B13" s="57"/>
      <c r="C13" s="57"/>
      <c r="D13" s="60" t="s">
        <v>11</v>
      </c>
      <c r="E13" s="22" t="s">
        <v>8</v>
      </c>
      <c r="F13" s="72">
        <f>ROUND('Retirement Corpus'!F22:F22,0)</f>
        <v>0</v>
      </c>
      <c r="G13" s="52"/>
      <c r="H13" s="52"/>
      <c r="I13" s="52"/>
      <c r="J13" s="52"/>
      <c r="K13" s="52"/>
      <c r="L13" s="52"/>
      <c r="M13" s="52"/>
      <c r="S13" s="67">
        <f t="shared" si="0"/>
        <v>0.11999999999999998</v>
      </c>
    </row>
    <row r="14" spans="1:19" ht="11.25" customHeight="1">
      <c r="A14" s="57"/>
      <c r="B14" s="57"/>
      <c r="C14" s="57"/>
      <c r="D14" s="62"/>
      <c r="E14" s="62"/>
      <c r="F14" s="62"/>
      <c r="G14" s="62"/>
      <c r="H14" s="62"/>
      <c r="I14" s="62"/>
      <c r="J14" s="62"/>
      <c r="K14" s="62"/>
      <c r="L14" s="62"/>
      <c r="M14" s="62"/>
      <c r="S14" s="67">
        <f t="shared" si="0"/>
        <v>0.12999999999999998</v>
      </c>
    </row>
    <row r="15" spans="1:19" ht="11.25" customHeight="1">
      <c r="A15" s="57"/>
      <c r="B15" s="57"/>
      <c r="C15" s="57"/>
      <c r="D15" s="57"/>
      <c r="E15" s="57"/>
      <c r="F15" s="57"/>
      <c r="G15" s="57"/>
      <c r="H15" s="57"/>
      <c r="I15" s="57"/>
      <c r="J15" s="57"/>
      <c r="K15" s="57"/>
      <c r="L15" s="57"/>
      <c r="M15" s="57"/>
      <c r="S15" s="67">
        <f t="shared" si="0"/>
        <v>0.13999999999999999</v>
      </c>
    </row>
    <row r="16" spans="1:19" ht="31.5" customHeight="1">
      <c r="A16" s="57"/>
      <c r="B16" s="57"/>
      <c r="C16" s="57"/>
      <c r="D16" s="60" t="s">
        <v>12</v>
      </c>
      <c r="E16" s="20" t="s">
        <v>7</v>
      </c>
      <c r="F16" s="61">
        <f>'Future Value'!H15</f>
        <v>0</v>
      </c>
      <c r="G16" s="57"/>
      <c r="H16" s="57"/>
      <c r="I16" s="57"/>
      <c r="J16" s="57"/>
      <c r="K16" s="57"/>
      <c r="L16" s="57"/>
      <c r="M16" s="57"/>
      <c r="S16" s="67">
        <f t="shared" si="0"/>
        <v>0.15</v>
      </c>
    </row>
    <row r="17" spans="1:19" ht="11.25" customHeight="1">
      <c r="A17" s="57"/>
      <c r="B17" s="57"/>
      <c r="C17" s="57"/>
      <c r="D17" s="62"/>
      <c r="E17" s="62"/>
      <c r="F17" s="62"/>
      <c r="G17" s="62"/>
      <c r="H17" s="62"/>
      <c r="I17" s="62"/>
      <c r="J17" s="62"/>
      <c r="K17" s="62"/>
      <c r="L17" s="62"/>
      <c r="M17" s="62"/>
      <c r="S17" s="67">
        <f t="shared" si="0"/>
        <v>0.16</v>
      </c>
    </row>
    <row r="18" spans="1:19" ht="9.75" customHeight="1" thickBot="1">
      <c r="A18" s="57"/>
      <c r="B18" s="57"/>
      <c r="C18" s="57"/>
      <c r="D18" s="57"/>
      <c r="E18" s="57"/>
      <c r="F18" s="57"/>
      <c r="G18" s="57"/>
      <c r="H18" s="57"/>
      <c r="I18" s="57"/>
      <c r="J18" s="57"/>
      <c r="K18" s="57"/>
      <c r="L18" s="57"/>
      <c r="M18" s="57"/>
      <c r="S18" s="67">
        <f t="shared" si="0"/>
        <v>0.17</v>
      </c>
    </row>
    <row r="19" spans="1:19" ht="30.75" customHeight="1" thickBot="1">
      <c r="A19" s="57"/>
      <c r="B19" s="57"/>
      <c r="C19" s="57"/>
      <c r="D19" s="63" t="s">
        <v>24</v>
      </c>
      <c r="E19" s="22" t="s">
        <v>8</v>
      </c>
      <c r="F19" s="84"/>
      <c r="G19" s="57"/>
      <c r="H19" s="57"/>
      <c r="I19" s="57"/>
      <c r="J19" s="57"/>
      <c r="K19" s="57"/>
      <c r="L19" s="57"/>
      <c r="M19" s="57"/>
      <c r="S19" s="67">
        <f t="shared" si="0"/>
        <v>0.18000000000000002</v>
      </c>
    </row>
    <row r="20" spans="1:19" ht="11.25" customHeight="1">
      <c r="A20" s="57"/>
      <c r="B20" s="57"/>
      <c r="C20" s="57"/>
      <c r="D20" s="62"/>
      <c r="E20" s="62"/>
      <c r="F20" s="62"/>
      <c r="G20" s="62"/>
      <c r="H20" s="62"/>
      <c r="I20" s="62"/>
      <c r="J20" s="62"/>
      <c r="K20" s="62"/>
      <c r="L20" s="62"/>
      <c r="M20" s="62"/>
      <c r="S20" s="67">
        <f t="shared" si="0"/>
        <v>0.19000000000000003</v>
      </c>
    </row>
    <row r="21" spans="1:19" ht="9.75" customHeight="1">
      <c r="A21" s="57"/>
      <c r="B21" s="57"/>
      <c r="C21" s="57"/>
      <c r="D21" s="57"/>
      <c r="E21" s="57"/>
      <c r="F21" s="57"/>
      <c r="G21" s="57"/>
      <c r="H21" s="57"/>
      <c r="I21" s="57"/>
      <c r="J21" s="57"/>
      <c r="K21" s="57"/>
      <c r="L21" s="57"/>
      <c r="M21" s="57"/>
      <c r="S21" s="67">
        <f t="shared" si="0"/>
        <v>0.20000000000000004</v>
      </c>
    </row>
    <row r="22" spans="1:19" ht="30.75" customHeight="1">
      <c r="A22" s="57"/>
      <c r="B22" s="57"/>
      <c r="C22" s="57"/>
      <c r="D22" s="63" t="s">
        <v>13</v>
      </c>
      <c r="E22" s="57"/>
      <c r="F22" s="55"/>
      <c r="G22" s="57"/>
      <c r="H22" s="57"/>
      <c r="I22" s="57"/>
      <c r="J22" s="57"/>
      <c r="K22" s="57"/>
      <c r="L22" s="57"/>
      <c r="M22" s="57"/>
      <c r="S22" s="67">
        <f t="shared" si="0"/>
        <v>0.21000000000000005</v>
      </c>
    </row>
    <row r="23" spans="1:19" ht="11.25" customHeight="1">
      <c r="A23" s="57"/>
      <c r="B23" s="57"/>
      <c r="C23" s="57"/>
      <c r="D23" s="62"/>
      <c r="E23" s="62"/>
      <c r="F23" s="62"/>
      <c r="G23" s="62"/>
      <c r="H23" s="62"/>
      <c r="I23" s="62"/>
      <c r="J23" s="62"/>
      <c r="K23" s="62"/>
      <c r="L23" s="62"/>
      <c r="M23" s="62"/>
      <c r="S23" s="67">
        <f t="shared" si="0"/>
        <v>0.22000000000000006</v>
      </c>
    </row>
    <row r="24" spans="1:19" ht="11.25" customHeight="1" thickBot="1">
      <c r="A24" s="57"/>
      <c r="B24" s="57"/>
      <c r="C24" s="57"/>
      <c r="D24" s="57"/>
      <c r="E24" s="57"/>
      <c r="F24" s="57"/>
      <c r="G24" s="57"/>
      <c r="H24" s="57"/>
      <c r="I24" s="57"/>
      <c r="J24" s="57"/>
      <c r="K24" s="57"/>
      <c r="L24" s="57"/>
      <c r="M24" s="57"/>
      <c r="S24" s="67">
        <f t="shared" si="0"/>
        <v>0.23000000000000007</v>
      </c>
    </row>
    <row r="25" spans="1:19" ht="32.25" customHeight="1" thickBot="1">
      <c r="A25" s="57"/>
      <c r="B25" s="57"/>
      <c r="C25" s="57"/>
      <c r="D25" s="112" t="s">
        <v>28</v>
      </c>
      <c r="E25" s="113"/>
      <c r="F25" s="83" t="str">
        <f>IF(IFERROR(-PMT(F22/12,F16*12,-F19,F13,0),"0")&gt;0,IFERROR(-PMT(F22/12,F16*12,-F19,F13,0),"0"),0)</f>
        <v>0</v>
      </c>
      <c r="G25" s="87">
        <f>F25/10^3</f>
        <v>0</v>
      </c>
      <c r="H25" s="88" t="s">
        <v>34</v>
      </c>
      <c r="I25" s="57"/>
      <c r="J25" s="57"/>
      <c r="K25" s="57"/>
      <c r="L25" s="57"/>
      <c r="M25" s="57"/>
      <c r="S25" s="67">
        <f t="shared" si="0"/>
        <v>0.24000000000000007</v>
      </c>
    </row>
    <row r="26" spans="1:19" ht="11.25" customHeight="1">
      <c r="A26" s="57"/>
      <c r="B26" s="57"/>
      <c r="C26" s="57"/>
      <c r="D26" s="57"/>
      <c r="E26" s="57"/>
      <c r="F26" s="57"/>
      <c r="G26" s="57"/>
      <c r="H26" s="57"/>
      <c r="I26" s="57"/>
      <c r="J26" s="57"/>
      <c r="K26" s="57"/>
      <c r="L26" s="57"/>
      <c r="M26" s="57"/>
      <c r="S26" s="67">
        <f t="shared" si="0"/>
        <v>0.25000000000000006</v>
      </c>
    </row>
    <row r="27" spans="1:19" ht="18.75" customHeight="1">
      <c r="A27" s="57"/>
      <c r="B27" s="57"/>
      <c r="C27" s="57"/>
      <c r="D27" s="64" t="str">
        <f>"You have to invest a minimum of Rs."&amp;ROUND(F19,0)&amp;" as lump sum and Rs."&amp;ROUND(F25,0)&amp;" monthy towards building your retirement corpus."</f>
        <v>You have to invest a minimum of Rs.0 as lump sum and Rs.0 monthy towards building your retirement corpus.</v>
      </c>
      <c r="E27" s="65"/>
      <c r="F27" s="64"/>
      <c r="G27" s="57"/>
      <c r="H27" s="57"/>
      <c r="I27" s="57"/>
      <c r="J27" s="57"/>
      <c r="K27" s="57"/>
      <c r="L27" s="57"/>
      <c r="M27" s="57"/>
    </row>
    <row r="28" spans="1:19" ht="18.75" customHeight="1">
      <c r="A28" s="57"/>
      <c r="B28" s="57"/>
      <c r="C28" s="57"/>
      <c r="D28" s="64" t="str">
        <f>"You may also like to consider investing a higher amount and thereby, accumulate a higher retirement corpus to take care of emergency expenses."</f>
        <v>You may also like to consider investing a higher amount and thereby, accumulate a higher retirement corpus to take care of emergency expenses.</v>
      </c>
      <c r="E28" s="57"/>
      <c r="F28" s="57"/>
      <c r="G28" s="57"/>
      <c r="H28" s="57"/>
      <c r="I28" s="57"/>
      <c r="J28" s="57"/>
      <c r="K28" s="57"/>
      <c r="L28" s="57"/>
      <c r="M28" s="57"/>
    </row>
    <row r="29" spans="1:19" ht="2.25" customHeight="1">
      <c r="A29" s="57"/>
      <c r="B29" s="57"/>
      <c r="C29" s="57"/>
      <c r="D29" s="57"/>
      <c r="E29" s="57"/>
      <c r="F29" s="57"/>
      <c r="G29" s="57"/>
      <c r="H29" s="57"/>
      <c r="I29" s="57"/>
      <c r="J29" s="57"/>
      <c r="K29" s="57"/>
      <c r="L29" s="57"/>
      <c r="M29" s="57"/>
    </row>
    <row r="30" spans="1:19" ht="20.25">
      <c r="A30" s="57"/>
      <c r="B30" s="57"/>
      <c r="C30" s="57"/>
      <c r="D30" s="57"/>
      <c r="E30" s="57"/>
      <c r="F30" s="57"/>
      <c r="G30" s="57"/>
      <c r="H30" s="57"/>
      <c r="I30" s="57"/>
      <c r="J30" s="57"/>
      <c r="K30" s="57"/>
      <c r="L30" s="57"/>
      <c r="M30" s="57"/>
    </row>
    <row r="31" spans="1:19" ht="20.25">
      <c r="A31" s="57"/>
      <c r="B31" s="57"/>
      <c r="C31" s="57"/>
      <c r="D31" s="57"/>
      <c r="E31" s="57"/>
      <c r="F31" s="57"/>
      <c r="G31" s="57"/>
      <c r="H31" s="57"/>
      <c r="I31" s="57"/>
      <c r="J31" s="57"/>
      <c r="K31" s="57"/>
      <c r="L31" s="57"/>
      <c r="M31" s="57"/>
    </row>
    <row r="32" spans="1:19" ht="12.75" customHeight="1">
      <c r="A32" s="57"/>
      <c r="B32" s="57"/>
      <c r="C32" s="57"/>
      <c r="D32" s="57"/>
      <c r="E32" s="57"/>
      <c r="F32" s="57"/>
      <c r="G32" s="57"/>
      <c r="H32" s="57"/>
      <c r="I32" s="57"/>
      <c r="J32" s="57"/>
      <c r="K32" s="57"/>
      <c r="L32" s="57"/>
      <c r="M32" s="57"/>
    </row>
    <row r="33" spans="1:13" ht="36.75" customHeight="1">
      <c r="A33" s="57"/>
      <c r="B33" s="57"/>
      <c r="C33" s="57"/>
      <c r="D33" s="115" t="s">
        <v>19</v>
      </c>
      <c r="E33" s="115"/>
      <c r="F33" s="115"/>
      <c r="G33" s="115"/>
      <c r="H33" s="115"/>
      <c r="I33" s="115"/>
      <c r="J33" s="115"/>
      <c r="K33" s="115"/>
      <c r="L33" s="115"/>
      <c r="M33" s="115"/>
    </row>
    <row r="34" spans="1:13" ht="20.25">
      <c r="A34" s="57"/>
      <c r="B34" s="57"/>
      <c r="C34" s="57"/>
      <c r="D34" s="57"/>
      <c r="E34" s="57"/>
      <c r="F34" s="57"/>
      <c r="G34" s="57"/>
      <c r="H34" s="57"/>
      <c r="I34" s="57"/>
      <c r="J34" s="57"/>
      <c r="K34" s="57"/>
      <c r="L34" s="57"/>
      <c r="M34" s="57"/>
    </row>
    <row r="35" spans="1:13" ht="20.25">
      <c r="A35" s="57"/>
      <c r="B35" s="57"/>
      <c r="C35" s="57"/>
      <c r="D35" s="57"/>
      <c r="E35" s="57"/>
      <c r="F35" s="57"/>
      <c r="G35" s="57"/>
      <c r="H35" s="57"/>
      <c r="I35" s="57"/>
      <c r="J35" s="57"/>
      <c r="K35" s="57"/>
      <c r="L35" s="57"/>
      <c r="M35" s="57"/>
    </row>
    <row r="36" spans="1:13" ht="20.25">
      <c r="A36" s="57"/>
      <c r="B36" s="57"/>
      <c r="C36" s="57"/>
      <c r="D36" s="57"/>
      <c r="E36" s="57"/>
      <c r="F36" s="57"/>
      <c r="G36" s="57"/>
      <c r="H36" s="57"/>
      <c r="I36" s="57"/>
      <c r="J36" s="57"/>
      <c r="K36" s="57"/>
      <c r="L36" s="57"/>
      <c r="M36" s="57"/>
    </row>
    <row r="37" spans="1:13" ht="20.25">
      <c r="A37" s="57"/>
      <c r="B37" s="57"/>
      <c r="C37" s="57"/>
      <c r="D37" s="57"/>
      <c r="E37" s="57"/>
      <c r="F37" s="57"/>
      <c r="G37" s="57"/>
      <c r="H37" s="57"/>
      <c r="I37" s="57"/>
      <c r="J37" s="57"/>
      <c r="K37" s="57"/>
      <c r="L37" s="57"/>
      <c r="M37" s="57"/>
    </row>
  </sheetData>
  <sheetProtection password="C1E3" sheet="1" objects="1" scenarios="1" selectLockedCells="1"/>
  <mergeCells count="4">
    <mergeCell ref="D7:M8"/>
    <mergeCell ref="D25:E25"/>
    <mergeCell ref="D2:J2"/>
    <mergeCell ref="D33:M33"/>
  </mergeCells>
  <conditionalFormatting sqref="F13 F16">
    <cfRule type="cellIs" dxfId="11" priority="7" operator="equal">
      <formula>0</formula>
    </cfRule>
  </conditionalFormatting>
  <conditionalFormatting sqref="F25">
    <cfRule type="cellIs" dxfId="10" priority="5" operator="equal">
      <formula>0</formula>
    </cfRule>
  </conditionalFormatting>
  <conditionalFormatting sqref="G25">
    <cfRule type="cellIs" dxfId="9" priority="4" operator="equal">
      <formula>0</formula>
    </cfRule>
  </conditionalFormatting>
  <conditionalFormatting sqref="G25">
    <cfRule type="cellIs" dxfId="8" priority="3" operator="equal">
      <formula>0</formula>
    </cfRule>
  </conditionalFormatting>
  <conditionalFormatting sqref="H25">
    <cfRule type="expression" dxfId="7" priority="1">
      <formula>$G$25=0</formula>
    </cfRule>
  </conditionalFormatting>
  <dataValidations count="1">
    <dataValidation type="list" allowBlank="1" showInputMessage="1" showErrorMessage="1" sqref="F22">
      <formula1>$S$1:$S$26</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dimension ref="A1:S39"/>
  <sheetViews>
    <sheetView showGridLines="0" showRowColHeaders="0" zoomScale="85" zoomScaleNormal="85" workbookViewId="0">
      <selection activeCell="I21" sqref="I21:M21"/>
    </sheetView>
  </sheetViews>
  <sheetFormatPr defaultRowHeight="15"/>
  <cols>
    <col min="1" max="6" width="0.85546875" customWidth="1"/>
    <col min="7" max="7" width="12.5703125" customWidth="1"/>
    <col min="8" max="8" width="24.140625" customWidth="1"/>
    <col min="9" max="9" width="9" customWidth="1"/>
    <col min="10" max="10" width="3.42578125" customWidth="1"/>
    <col min="11" max="11" width="5.42578125" customWidth="1"/>
    <col min="12" max="12" width="14.42578125" customWidth="1"/>
    <col min="13" max="13" width="0.85546875" customWidth="1"/>
    <col min="14" max="14" width="12.7109375" customWidth="1"/>
    <col min="15" max="15" width="7.42578125" customWidth="1"/>
    <col min="16" max="16" width="6.28515625" customWidth="1"/>
    <col min="19" max="19" width="1.7109375" customWidth="1"/>
  </cols>
  <sheetData>
    <row r="1" spans="1:19" ht="8.25" customHeight="1"/>
    <row r="2" spans="1:19" ht="20.25">
      <c r="F2" s="106" t="s">
        <v>2</v>
      </c>
      <c r="G2" s="106"/>
      <c r="H2" s="106"/>
      <c r="I2" s="106"/>
      <c r="J2" s="106"/>
      <c r="K2" s="106"/>
      <c r="L2" s="106"/>
    </row>
    <row r="3" spans="1:19" s="48" customFormat="1" ht="28.5" customHeight="1">
      <c r="A3" s="6"/>
      <c r="B3" s="6"/>
      <c r="C3" s="6"/>
      <c r="D3" s="6"/>
      <c r="E3" s="6"/>
      <c r="F3" s="6"/>
      <c r="G3" s="51" t="str">
        <f>"Dear "&amp;Name!E8&amp;","</f>
        <v>Dear ,</v>
      </c>
      <c r="H3" s="49"/>
      <c r="I3" s="53"/>
      <c r="J3" s="47"/>
      <c r="K3" s="47"/>
      <c r="L3" s="47"/>
      <c r="M3" s="47"/>
      <c r="N3" s="47"/>
      <c r="O3" s="47"/>
      <c r="P3" s="47"/>
      <c r="Q3" s="6"/>
      <c r="R3" s="6"/>
      <c r="S3" s="6"/>
    </row>
    <row r="4" spans="1:19" s="48" customFormat="1">
      <c r="A4" s="6"/>
      <c r="B4" s="6"/>
      <c r="C4" s="6"/>
      <c r="D4" s="6"/>
      <c r="E4" s="6"/>
      <c r="F4" s="6"/>
      <c r="G4" s="49" t="str">
        <f>"Based on your inputs and assumptions, you have "&amp;ROUND('Invest Per Month'!F16,0)&amp;" years to retire. You need to invest Rs."&amp;ROUND('Invest Per Month'!F19,0)</f>
        <v>Based on your inputs and assumptions, you have 0 years to retire. You need to invest Rs.0</v>
      </c>
      <c r="H4" s="6"/>
      <c r="I4" s="6"/>
      <c r="J4" s="6"/>
      <c r="K4" s="6"/>
      <c r="L4" s="6"/>
      <c r="M4" s="6"/>
      <c r="N4" s="6"/>
      <c r="O4" s="6"/>
      <c r="P4" s="6"/>
      <c r="Q4" s="6"/>
      <c r="R4" s="6"/>
      <c r="S4" s="6"/>
    </row>
    <row r="5" spans="1:19" s="48" customFormat="1">
      <c r="A5" s="6"/>
      <c r="B5" s="6"/>
      <c r="C5" s="6"/>
      <c r="D5" s="6"/>
      <c r="E5" s="6"/>
      <c r="F5" s="6"/>
      <c r="G5" s="49" t="str">
        <f>"as lump sum and "&amp;ROUND('Invest Per Month'!F25,0)&amp;" per month to accumulate a retirement corpus of Rs. "&amp;ROUND('Retirement Corpus'!F22,0)&amp;" which"</f>
        <v>as lump sum and 0 per month to accumulate a retirement corpus of Rs. 0 which</v>
      </c>
      <c r="H5" s="6"/>
      <c r="I5" s="6"/>
      <c r="J5" s="6"/>
      <c r="K5" s="6"/>
      <c r="L5" s="6"/>
      <c r="M5" s="6"/>
      <c r="N5" s="6"/>
      <c r="O5" s="6"/>
      <c r="P5" s="6"/>
      <c r="Q5" s="6"/>
      <c r="R5" s="6"/>
      <c r="S5" s="6"/>
    </row>
    <row r="6" spans="1:19" s="48" customFormat="1">
      <c r="A6" s="6"/>
      <c r="B6" s="6"/>
      <c r="C6" s="6"/>
      <c r="D6" s="6"/>
      <c r="E6" s="6"/>
      <c r="F6" s="6"/>
      <c r="G6" s="49" t="str">
        <f>"could provide you a cash flow of Rs."&amp;ROUND('Retirement Corpus'!F13,0)&amp;" per month"</f>
        <v>could provide you a cash flow of Rs.0 per month</v>
      </c>
      <c r="H6" s="6"/>
      <c r="I6" s="6"/>
      <c r="J6" s="6"/>
      <c r="K6" s="6"/>
      <c r="L6" s="6"/>
      <c r="M6" s="6"/>
      <c r="N6" s="6"/>
      <c r="O6" s="6"/>
      <c r="P6" s="6"/>
      <c r="Q6" s="6"/>
      <c r="R6" s="6"/>
      <c r="S6" s="6"/>
    </row>
    <row r="7" spans="1:19">
      <c r="A7" s="6"/>
      <c r="B7" s="6"/>
      <c r="C7" s="6"/>
      <c r="D7" s="6"/>
      <c r="E7" s="6"/>
      <c r="F7" s="6"/>
      <c r="G7" s="6"/>
      <c r="H7" s="6"/>
      <c r="I7" s="6"/>
      <c r="J7" s="6"/>
      <c r="K7" s="6"/>
      <c r="L7" s="6"/>
      <c r="M7" s="6"/>
      <c r="N7" s="6"/>
      <c r="O7" s="6"/>
      <c r="P7" s="6"/>
      <c r="Q7" s="6"/>
      <c r="R7" s="6"/>
      <c r="S7" s="6"/>
    </row>
    <row r="8" spans="1:19" s="48" customFormat="1">
      <c r="A8" s="6"/>
      <c r="B8" s="6"/>
      <c r="C8" s="6"/>
      <c r="D8" s="6"/>
      <c r="E8" s="6"/>
      <c r="F8" s="6"/>
      <c r="G8" s="50" t="str">
        <f>"Based on your current lumpsum investment of Rs."&amp;ROUND('Invest Per Month'!F19,0)</f>
        <v>Based on your current lumpsum investment of Rs.0</v>
      </c>
      <c r="H8" s="6"/>
      <c r="I8" s="6"/>
      <c r="J8" s="6"/>
      <c r="K8" s="6"/>
      <c r="L8" s="6"/>
      <c r="M8" s="6"/>
      <c r="N8" s="6"/>
      <c r="O8" s="6"/>
      <c r="P8" s="6"/>
      <c r="Q8" s="6"/>
      <c r="R8" s="6"/>
      <c r="S8" s="6"/>
    </row>
    <row r="9" spans="1:19" s="48" customFormat="1">
      <c r="A9" s="6"/>
      <c r="B9" s="6"/>
      <c r="C9" s="6"/>
      <c r="D9" s="6"/>
      <c r="E9" s="6"/>
      <c r="F9" s="6"/>
      <c r="G9" s="50" t="str">
        <f>"your possible retirement corpus could be Rs. "&amp;ROUND(I21,0)</f>
        <v>your possible retirement corpus could be Rs. 0</v>
      </c>
      <c r="H9" s="6"/>
      <c r="I9" s="6"/>
      <c r="J9" s="6"/>
      <c r="K9" s="6"/>
      <c r="L9" s="6"/>
      <c r="M9" s="6"/>
      <c r="N9" s="6"/>
      <c r="O9" s="6"/>
      <c r="P9" s="6"/>
      <c r="Q9" s="6"/>
      <c r="R9" s="6"/>
      <c r="S9" s="6"/>
    </row>
    <row r="10" spans="1:19" s="48" customFormat="1" ht="15.75" thickBot="1">
      <c r="A10" s="6"/>
      <c r="B10" s="6"/>
      <c r="C10" s="6"/>
      <c r="D10" s="6"/>
      <c r="E10" s="6"/>
      <c r="F10" s="6"/>
      <c r="G10" s="4"/>
      <c r="H10" s="6"/>
      <c r="I10" s="6"/>
      <c r="J10" s="6"/>
      <c r="K10" s="6"/>
      <c r="L10" s="6"/>
      <c r="M10" s="6"/>
      <c r="N10" s="6"/>
      <c r="O10" s="6"/>
      <c r="P10" s="6"/>
      <c r="Q10" s="6"/>
      <c r="R10" s="6"/>
      <c r="S10" s="6"/>
    </row>
    <row r="11" spans="1:19" ht="18">
      <c r="A11" s="4"/>
      <c r="B11" s="4"/>
      <c r="C11" s="4"/>
      <c r="D11" s="4"/>
      <c r="E11" s="4"/>
      <c r="F11" s="4"/>
      <c r="G11" s="39"/>
      <c r="H11" s="40"/>
      <c r="I11" s="40"/>
      <c r="J11" s="40"/>
      <c r="K11" s="40"/>
      <c r="L11" s="40"/>
      <c r="M11" s="40"/>
      <c r="N11" s="40"/>
      <c r="O11" s="40"/>
      <c r="P11" s="41"/>
      <c r="Q11" s="4"/>
      <c r="R11" s="4"/>
      <c r="S11" s="4"/>
    </row>
    <row r="12" spans="1:19" ht="18">
      <c r="A12" s="4"/>
      <c r="B12" s="4"/>
      <c r="C12" s="4"/>
      <c r="D12" s="4"/>
      <c r="E12" s="4"/>
      <c r="F12" s="4"/>
      <c r="G12" s="34" t="str">
        <f>"Present Age:"&amp;" "&amp;ROUND('Future Value'!F12,0)&amp;" years"</f>
        <v>Present Age: 0 years</v>
      </c>
      <c r="H12" s="35"/>
      <c r="I12" s="42"/>
      <c r="J12" s="42"/>
      <c r="K12" s="42"/>
      <c r="L12" s="42"/>
      <c r="M12" s="42"/>
      <c r="N12" s="42"/>
      <c r="O12" s="42"/>
      <c r="P12" s="43"/>
      <c r="Q12" s="4"/>
      <c r="R12" s="4"/>
      <c r="S12" s="4"/>
    </row>
    <row r="13" spans="1:19" ht="1.5" customHeight="1">
      <c r="A13" s="4"/>
      <c r="B13" s="4"/>
      <c r="C13" s="4"/>
      <c r="D13" s="4"/>
      <c r="E13" s="4"/>
      <c r="F13" s="4"/>
      <c r="G13" s="44"/>
      <c r="H13" s="42"/>
      <c r="I13" s="42"/>
      <c r="J13" s="42"/>
      <c r="K13" s="42"/>
      <c r="L13" s="42"/>
      <c r="M13" s="42"/>
      <c r="N13" s="42"/>
      <c r="O13" s="42"/>
      <c r="P13" s="43"/>
      <c r="Q13" s="4"/>
      <c r="R13" s="4"/>
      <c r="S13" s="4"/>
    </row>
    <row r="14" spans="1:19" ht="18">
      <c r="A14" s="4"/>
      <c r="B14" s="4"/>
      <c r="C14" s="4"/>
      <c r="D14" s="4"/>
      <c r="E14" s="4"/>
      <c r="F14" s="4"/>
      <c r="G14" s="34" t="str">
        <f>"Age of Retirement:"&amp;" "&amp;ROUND('Future Value'!F15,0)&amp;" years"</f>
        <v>Age of Retirement: 0 years</v>
      </c>
      <c r="H14" s="42"/>
      <c r="I14" s="42"/>
      <c r="J14" s="42"/>
      <c r="K14" s="36"/>
      <c r="L14" s="42"/>
      <c r="M14" s="42"/>
      <c r="N14" s="42"/>
      <c r="O14" s="42"/>
      <c r="P14" s="43"/>
      <c r="Q14" s="4"/>
      <c r="R14" s="4"/>
      <c r="S14" s="4"/>
    </row>
    <row r="15" spans="1:19" ht="1.5" customHeight="1">
      <c r="A15" s="4"/>
      <c r="B15" s="4"/>
      <c r="C15" s="4"/>
      <c r="D15" s="4"/>
      <c r="E15" s="4"/>
      <c r="F15" s="4"/>
      <c r="G15" s="44"/>
      <c r="H15" s="42"/>
      <c r="I15" s="42"/>
      <c r="J15" s="42"/>
      <c r="K15" s="42"/>
      <c r="L15" s="42"/>
      <c r="M15" s="42"/>
      <c r="N15" s="42"/>
      <c r="O15" s="42"/>
      <c r="P15" s="43"/>
      <c r="Q15" s="4"/>
      <c r="R15" s="4"/>
      <c r="S15" s="4"/>
    </row>
    <row r="16" spans="1:19" ht="18">
      <c r="A16" s="4"/>
      <c r="B16" s="4"/>
      <c r="C16" s="4"/>
      <c r="D16" s="4"/>
      <c r="E16" s="4"/>
      <c r="F16" s="4"/>
      <c r="G16" s="34" t="str">
        <f>"Monthly Withdrawal Post Retirement: Rs."</f>
        <v>Monthly Withdrawal Post Retirement: Rs.</v>
      </c>
      <c r="H16" s="42"/>
      <c r="I16" s="42"/>
      <c r="J16" s="117">
        <f>ROUND('Retirement Corpus'!F13,0)</f>
        <v>0</v>
      </c>
      <c r="K16" s="117"/>
      <c r="L16" s="117"/>
      <c r="M16" s="117"/>
      <c r="N16" s="90">
        <f>IF(J16/10^5=0,0.00001,J16/10^5)</f>
        <v>1.0000000000000001E-5</v>
      </c>
      <c r="O16" s="89" t="s">
        <v>35</v>
      </c>
      <c r="P16" s="43"/>
      <c r="Q16" s="4"/>
      <c r="R16" s="4"/>
      <c r="S16" s="4"/>
    </row>
    <row r="17" spans="1:19" ht="1.5" customHeight="1">
      <c r="A17" s="4"/>
      <c r="B17" s="4"/>
      <c r="C17" s="4"/>
      <c r="D17" s="4"/>
      <c r="E17" s="4"/>
      <c r="F17" s="4"/>
      <c r="G17" s="37"/>
      <c r="H17" s="42"/>
      <c r="I17" s="42"/>
      <c r="J17" s="42"/>
      <c r="K17" s="42"/>
      <c r="L17" s="42"/>
      <c r="M17" s="42"/>
      <c r="N17" s="91"/>
      <c r="O17" s="91"/>
      <c r="P17" s="43"/>
      <c r="Q17" s="4"/>
      <c r="R17" s="4"/>
      <c r="S17" s="4"/>
    </row>
    <row r="18" spans="1:19" ht="18">
      <c r="A18" s="4"/>
      <c r="B18" s="4"/>
      <c r="C18" s="4"/>
      <c r="D18" s="4"/>
      <c r="E18" s="4"/>
      <c r="F18" s="4"/>
      <c r="G18" s="34" t="str">
        <f>"Retirement Corpus Required:"&amp;" Rs."</f>
        <v>Retirement Corpus Required: Rs.</v>
      </c>
      <c r="H18" s="42"/>
      <c r="I18" s="117">
        <f>ROUND('Retirement Corpus'!F22,0)</f>
        <v>0</v>
      </c>
      <c r="J18" s="117"/>
      <c r="K18" s="117"/>
      <c r="L18" s="117"/>
      <c r="M18" s="42"/>
      <c r="N18" s="90">
        <f>IF(I18/10^7=0,0.00001,I18/10^7)</f>
        <v>1.0000000000000001E-5</v>
      </c>
      <c r="O18" s="89" t="s">
        <v>32</v>
      </c>
      <c r="P18" s="43"/>
      <c r="Q18" s="4"/>
      <c r="R18" s="4"/>
      <c r="S18" s="4"/>
    </row>
    <row r="19" spans="1:19" ht="1.5" customHeight="1">
      <c r="A19" s="4"/>
      <c r="B19" s="4"/>
      <c r="C19" s="4"/>
      <c r="D19" s="4"/>
      <c r="E19" s="4"/>
      <c r="F19" s="4"/>
      <c r="G19" s="34"/>
      <c r="H19" s="42"/>
      <c r="I19" s="73"/>
      <c r="J19" s="42"/>
      <c r="K19" s="42"/>
      <c r="L19" s="42"/>
      <c r="M19" s="42"/>
      <c r="N19" s="42"/>
      <c r="O19" s="42"/>
      <c r="P19" s="43"/>
      <c r="Q19" s="4"/>
      <c r="R19" s="4"/>
      <c r="S19" s="4"/>
    </row>
    <row r="20" spans="1:19" ht="5.25" customHeight="1">
      <c r="A20" s="4"/>
      <c r="B20" s="4"/>
      <c r="C20" s="4"/>
      <c r="D20" s="4"/>
      <c r="E20" s="4"/>
      <c r="F20" s="4"/>
      <c r="G20" s="34"/>
      <c r="H20" s="42"/>
      <c r="I20" s="42"/>
      <c r="J20" s="70"/>
      <c r="K20" s="69"/>
      <c r="L20" s="69"/>
      <c r="M20" s="69"/>
      <c r="N20" s="86"/>
      <c r="O20" s="86"/>
      <c r="P20" s="43"/>
      <c r="Q20" s="4"/>
      <c r="R20" s="4"/>
      <c r="S20" s="4"/>
    </row>
    <row r="21" spans="1:19" ht="18">
      <c r="A21" s="4"/>
      <c r="B21" s="4"/>
      <c r="C21" s="4"/>
      <c r="D21" s="4"/>
      <c r="E21" s="4"/>
      <c r="F21" s="4"/>
      <c r="G21" s="34" t="s">
        <v>25</v>
      </c>
      <c r="H21" s="42"/>
      <c r="I21" s="117">
        <f>IFERROR(IF(FV('Invest Per Month'!F22/12,'Invest Per Month'!F16*12,,-'Invest Per Month'!F19,0)&gt;I18,FV('Invest Per Month'!F22/12,'Invest Per Month'!F16*12,,-'Invest Per Month'!F19,0),I18),0)</f>
        <v>0</v>
      </c>
      <c r="J21" s="117"/>
      <c r="K21" s="117"/>
      <c r="L21" s="117"/>
      <c r="M21" s="117"/>
      <c r="N21" s="90">
        <f>IF(I21/10^7=0,0.00001,I21/10^7)</f>
        <v>1.0000000000000001E-5</v>
      </c>
      <c r="O21" s="89" t="s">
        <v>32</v>
      </c>
      <c r="P21" s="43"/>
      <c r="Q21" s="4"/>
      <c r="R21" s="4"/>
      <c r="S21" s="4"/>
    </row>
    <row r="22" spans="1:19" ht="8.25" customHeight="1" thickBot="1">
      <c r="A22" s="4"/>
      <c r="B22" s="4"/>
      <c r="C22" s="4"/>
      <c r="D22" s="4"/>
      <c r="E22" s="4"/>
      <c r="F22" s="4"/>
      <c r="G22" s="38"/>
      <c r="H22" s="45"/>
      <c r="I22" s="45"/>
      <c r="J22" s="45"/>
      <c r="K22" s="45"/>
      <c r="L22" s="45"/>
      <c r="M22" s="45"/>
      <c r="N22" s="45"/>
      <c r="O22" s="45"/>
      <c r="P22" s="46"/>
      <c r="Q22" s="4"/>
      <c r="R22" s="4"/>
      <c r="S22" s="4"/>
    </row>
    <row r="23" spans="1:19" ht="6" customHeight="1">
      <c r="A23" s="4"/>
      <c r="B23" s="4"/>
      <c r="C23" s="4"/>
      <c r="D23" s="4"/>
      <c r="E23" s="4"/>
      <c r="F23" s="4"/>
      <c r="G23" s="74"/>
      <c r="H23" s="75"/>
      <c r="I23" s="75"/>
      <c r="J23" s="75"/>
      <c r="K23" s="75"/>
      <c r="L23" s="75"/>
      <c r="M23" s="75"/>
      <c r="N23" s="75"/>
      <c r="O23" s="75"/>
      <c r="P23" s="76"/>
      <c r="Q23" s="4"/>
      <c r="R23" s="4"/>
      <c r="S23" s="4"/>
    </row>
    <row r="24" spans="1:19" ht="28.5" customHeight="1">
      <c r="A24" s="4"/>
      <c r="B24" s="4"/>
      <c r="C24" s="4"/>
      <c r="D24" s="4"/>
      <c r="E24" s="4"/>
      <c r="F24" s="4"/>
      <c r="G24" s="77" t="str">
        <f>"Lump sum amount to be invested today: Rs."</f>
        <v>Lump sum amount to be invested today: Rs.</v>
      </c>
      <c r="H24" s="75"/>
      <c r="I24" s="75"/>
      <c r="J24" s="78"/>
      <c r="K24" s="118">
        <f>IF(ROUND('Invest Per Month'!F19,0)=0,0.1,ROUND('Invest Per Month'!F19,0))</f>
        <v>0.1</v>
      </c>
      <c r="L24" s="118"/>
      <c r="M24" s="118"/>
      <c r="N24" s="92">
        <f>K24/10^5</f>
        <v>9.9999999999999995E-7</v>
      </c>
      <c r="O24" s="93" t="s">
        <v>35</v>
      </c>
      <c r="P24" s="76"/>
      <c r="Q24" s="4"/>
      <c r="R24" s="4"/>
      <c r="S24" s="4"/>
    </row>
    <row r="25" spans="1:19" ht="4.5" customHeight="1">
      <c r="A25" s="4"/>
      <c r="B25" s="4"/>
      <c r="C25" s="4"/>
      <c r="D25" s="4"/>
      <c r="E25" s="4"/>
      <c r="F25" s="4"/>
      <c r="G25" s="77"/>
      <c r="H25" s="75"/>
      <c r="I25" s="75"/>
      <c r="J25" s="78"/>
      <c r="K25" s="79"/>
      <c r="L25" s="79"/>
      <c r="M25" s="79"/>
      <c r="N25" s="79"/>
      <c r="O25" s="79"/>
      <c r="P25" s="76"/>
      <c r="Q25" s="4"/>
      <c r="R25" s="4"/>
      <c r="S25" s="4"/>
    </row>
    <row r="26" spans="1:19" ht="28.5" customHeight="1">
      <c r="A26" s="4"/>
      <c r="B26" s="4"/>
      <c r="C26" s="4"/>
      <c r="D26" s="4"/>
      <c r="E26" s="4"/>
      <c r="F26" s="4"/>
      <c r="G26" s="77" t="str">
        <f>"Amount to invest per month:"&amp;" Rs."</f>
        <v>Amount to invest per month: Rs.</v>
      </c>
      <c r="H26" s="75"/>
      <c r="I26" s="118">
        <f>IF(ROUND('Invest Per Month'!F25,0)=0,0.001,ROUND('Invest Per Month'!F25,0))</f>
        <v>1E-3</v>
      </c>
      <c r="J26" s="118"/>
      <c r="K26" s="118"/>
      <c r="L26" s="118"/>
      <c r="M26" s="75"/>
      <c r="N26" s="92">
        <f>I26/10^3</f>
        <v>9.9999999999999995E-7</v>
      </c>
      <c r="O26" s="93" t="s">
        <v>34</v>
      </c>
      <c r="P26" s="76"/>
      <c r="Q26" s="4"/>
      <c r="R26" s="4"/>
      <c r="S26" s="4"/>
    </row>
    <row r="27" spans="1:19" ht="18.75" thickBot="1">
      <c r="A27" s="4"/>
      <c r="B27" s="4"/>
      <c r="C27" s="4"/>
      <c r="D27" s="4"/>
      <c r="E27" s="4"/>
      <c r="F27" s="4"/>
      <c r="G27" s="80"/>
      <c r="H27" s="81"/>
      <c r="I27" s="81"/>
      <c r="J27" s="81"/>
      <c r="K27" s="81"/>
      <c r="L27" s="81"/>
      <c r="M27" s="81"/>
      <c r="N27" s="81"/>
      <c r="O27" s="81"/>
      <c r="P27" s="82"/>
      <c r="Q27" s="4"/>
      <c r="R27" s="4"/>
      <c r="S27" s="4"/>
    </row>
    <row r="28" spans="1:19">
      <c r="A28" s="4"/>
      <c r="B28" s="4"/>
      <c r="C28" s="4"/>
      <c r="D28" s="4"/>
      <c r="E28" s="4"/>
      <c r="F28" s="4"/>
      <c r="G28" s="7"/>
      <c r="H28" s="4"/>
      <c r="I28" s="4"/>
      <c r="J28" s="4"/>
      <c r="K28" s="4"/>
      <c r="L28" s="4"/>
      <c r="M28" s="4"/>
      <c r="N28" s="4"/>
      <c r="O28" s="4"/>
      <c r="P28" s="4"/>
      <c r="Q28" s="4"/>
      <c r="R28" s="4"/>
      <c r="S28" s="4"/>
    </row>
    <row r="29" spans="1:19">
      <c r="A29" s="4"/>
      <c r="B29" s="4"/>
      <c r="C29" s="4"/>
      <c r="D29" s="4"/>
      <c r="E29" s="4"/>
      <c r="F29" s="4"/>
      <c r="G29" s="7"/>
      <c r="H29" s="4"/>
      <c r="I29" s="4"/>
      <c r="J29" s="4"/>
      <c r="K29" s="4"/>
      <c r="L29" s="4"/>
      <c r="M29" s="4"/>
      <c r="N29" s="4"/>
      <c r="O29" s="4"/>
      <c r="P29" s="4"/>
      <c r="Q29" s="4"/>
      <c r="R29" s="4"/>
      <c r="S29" s="4"/>
    </row>
    <row r="30" spans="1:19" ht="159.75" customHeight="1">
      <c r="A30" s="85"/>
      <c r="B30" s="85"/>
      <c r="C30" s="85"/>
      <c r="D30" s="85"/>
      <c r="E30" s="85"/>
      <c r="F30" s="85"/>
      <c r="G30" s="116" t="s">
        <v>30</v>
      </c>
      <c r="H30" s="116"/>
      <c r="I30" s="116"/>
      <c r="J30" s="116"/>
      <c r="K30" s="116"/>
      <c r="L30" s="116"/>
      <c r="M30" s="116"/>
      <c r="N30" s="116"/>
      <c r="O30" s="116"/>
      <c r="P30" s="116"/>
      <c r="Q30" s="85"/>
      <c r="R30" s="85"/>
      <c r="S30" s="85"/>
    </row>
    <row r="31" spans="1:19">
      <c r="A31" s="4"/>
      <c r="B31" s="4"/>
      <c r="C31" s="4"/>
      <c r="D31" s="4"/>
      <c r="E31" s="4"/>
      <c r="F31" s="4"/>
      <c r="G31" s="7"/>
      <c r="H31" s="4"/>
      <c r="I31" s="4"/>
      <c r="J31" s="4"/>
      <c r="K31" s="4"/>
      <c r="L31" s="4"/>
      <c r="M31" s="4"/>
      <c r="N31" s="4"/>
      <c r="O31" s="4"/>
      <c r="P31" s="4"/>
      <c r="Q31" s="4"/>
      <c r="R31" s="4"/>
      <c r="S31" s="4"/>
    </row>
    <row r="32" spans="1:19">
      <c r="A32" s="4"/>
      <c r="B32" s="4"/>
      <c r="C32" s="4"/>
      <c r="D32" s="4"/>
      <c r="E32" s="4"/>
      <c r="F32" s="4"/>
      <c r="G32" s="7"/>
      <c r="H32" s="4"/>
      <c r="I32" s="4"/>
      <c r="J32" s="4"/>
      <c r="K32" s="4"/>
      <c r="L32" s="4"/>
      <c r="M32" s="4"/>
      <c r="N32" s="4"/>
      <c r="O32" s="4"/>
      <c r="P32" s="4"/>
      <c r="Q32" s="4"/>
      <c r="R32" s="4"/>
      <c r="S32" s="4"/>
    </row>
    <row r="33" spans="1:19">
      <c r="A33" s="4"/>
      <c r="B33" s="4"/>
      <c r="C33" s="4"/>
      <c r="D33" s="4"/>
      <c r="E33" s="4"/>
      <c r="F33" s="4"/>
      <c r="G33" s="7"/>
      <c r="H33" s="4"/>
      <c r="I33" s="4"/>
      <c r="J33" s="4"/>
      <c r="K33" s="4"/>
      <c r="L33" s="4"/>
      <c r="M33" s="4"/>
      <c r="N33" s="4"/>
      <c r="O33" s="4"/>
      <c r="P33" s="4"/>
      <c r="Q33" s="4"/>
      <c r="R33" s="4"/>
      <c r="S33" s="4"/>
    </row>
    <row r="34" spans="1:19">
      <c r="A34" s="4"/>
      <c r="B34" s="4"/>
      <c r="C34" s="4"/>
      <c r="D34" s="4"/>
      <c r="E34" s="4"/>
      <c r="F34" s="4"/>
      <c r="G34" s="7"/>
      <c r="H34" s="4"/>
      <c r="I34" s="4"/>
      <c r="J34" s="4"/>
      <c r="K34" s="4"/>
      <c r="L34" s="4"/>
      <c r="M34" s="4"/>
      <c r="N34" s="4"/>
      <c r="O34" s="4"/>
      <c r="P34" s="4"/>
      <c r="Q34" s="4"/>
      <c r="R34" s="4"/>
      <c r="S34" s="4"/>
    </row>
    <row r="35" spans="1:19">
      <c r="A35" s="4"/>
      <c r="B35" s="4"/>
      <c r="C35" s="4"/>
      <c r="D35" s="4"/>
      <c r="E35" s="4"/>
      <c r="F35" s="4"/>
      <c r="G35" s="7"/>
      <c r="H35" s="4"/>
      <c r="I35" s="4"/>
      <c r="J35" s="4"/>
      <c r="K35" s="4"/>
      <c r="L35" s="4"/>
      <c r="M35" s="4"/>
      <c r="N35" s="4"/>
      <c r="O35" s="4"/>
      <c r="P35" s="4"/>
      <c r="Q35" s="4"/>
      <c r="R35" s="4"/>
      <c r="S35" s="4"/>
    </row>
    <row r="36" spans="1:19">
      <c r="A36" s="4"/>
      <c r="B36" s="4"/>
      <c r="C36" s="4"/>
      <c r="D36" s="4"/>
      <c r="E36" s="4"/>
      <c r="F36" s="4"/>
      <c r="G36" s="7"/>
      <c r="H36" s="4"/>
      <c r="I36" s="4"/>
      <c r="J36" s="4"/>
      <c r="K36" s="4"/>
      <c r="L36" s="4"/>
      <c r="M36" s="4"/>
      <c r="N36" s="4"/>
      <c r="O36" s="4"/>
      <c r="P36" s="4"/>
      <c r="Q36" s="4"/>
      <c r="R36" s="4"/>
      <c r="S36" s="4"/>
    </row>
    <row r="37" spans="1:19">
      <c r="A37" s="4"/>
      <c r="B37" s="4"/>
      <c r="C37" s="4"/>
      <c r="D37" s="4"/>
      <c r="E37" s="4"/>
      <c r="F37" s="4"/>
      <c r="G37" s="7"/>
      <c r="H37" s="4"/>
      <c r="I37" s="4"/>
      <c r="J37" s="4"/>
      <c r="K37" s="4"/>
      <c r="L37" s="4"/>
      <c r="M37" s="4"/>
      <c r="N37" s="4"/>
      <c r="O37" s="4"/>
      <c r="P37" s="4"/>
      <c r="Q37" s="4"/>
      <c r="R37" s="4"/>
      <c r="S37" s="4"/>
    </row>
    <row r="38" spans="1:19">
      <c r="A38" s="4"/>
      <c r="B38" s="4"/>
      <c r="C38" s="4"/>
      <c r="D38" s="4"/>
      <c r="E38" s="4"/>
      <c r="F38" s="4"/>
      <c r="G38" s="7"/>
      <c r="H38" s="4"/>
      <c r="I38" s="4"/>
      <c r="J38" s="4"/>
      <c r="K38" s="4"/>
      <c r="L38" s="4"/>
      <c r="M38" s="4"/>
      <c r="N38" s="4"/>
      <c r="O38" s="4"/>
      <c r="P38" s="4"/>
      <c r="Q38" s="4"/>
      <c r="R38" s="4"/>
      <c r="S38" s="4"/>
    </row>
    <row r="39" spans="1:19">
      <c r="A39" s="4"/>
      <c r="B39" s="4"/>
      <c r="C39" s="4"/>
      <c r="D39" s="4"/>
      <c r="E39" s="4"/>
      <c r="F39" s="4"/>
      <c r="G39" s="7"/>
      <c r="H39" s="4"/>
      <c r="I39" s="4"/>
      <c r="J39" s="4"/>
      <c r="K39" s="4"/>
      <c r="L39" s="4"/>
      <c r="M39" s="4"/>
      <c r="N39" s="4"/>
      <c r="O39" s="4"/>
      <c r="P39" s="4"/>
      <c r="Q39" s="4"/>
      <c r="R39" s="4"/>
      <c r="S39" s="4"/>
    </row>
  </sheetData>
  <sheetProtection password="C1E3" sheet="1" objects="1" scenarios="1" selectLockedCells="1"/>
  <mergeCells count="7">
    <mergeCell ref="G30:P30"/>
    <mergeCell ref="F2:L2"/>
    <mergeCell ref="I18:L18"/>
    <mergeCell ref="I26:L26"/>
    <mergeCell ref="J16:M16"/>
    <mergeCell ref="K24:M24"/>
    <mergeCell ref="I21:M21"/>
  </mergeCells>
  <conditionalFormatting sqref="G4:G6">
    <cfRule type="expression" dxfId="6" priority="20">
      <formula>$I$21&gt;$I$18</formula>
    </cfRule>
  </conditionalFormatting>
  <conditionalFormatting sqref="G8:G9">
    <cfRule type="expression" dxfId="5" priority="21">
      <formula>$I$18=$I$21</formula>
    </cfRule>
  </conditionalFormatting>
  <conditionalFormatting sqref="N18 N21 N16">
    <cfRule type="cellIs" dxfId="4" priority="7" operator="equal">
      <formula>0</formula>
    </cfRule>
  </conditionalFormatting>
  <conditionalFormatting sqref="N26">
    <cfRule type="cellIs" dxfId="3" priority="6" operator="equal">
      <formula>0</formula>
    </cfRule>
  </conditionalFormatting>
  <conditionalFormatting sqref="N24">
    <cfRule type="cellIs" dxfId="2" priority="5" operator="equal">
      <formula>0</formula>
    </cfRule>
  </conditionalFormatting>
  <conditionalFormatting sqref="O26">
    <cfRule type="expression" dxfId="1" priority="2">
      <formula>$N$26&lt;0.0001</formula>
    </cfRule>
  </conditionalFormatting>
  <conditionalFormatting sqref="O24">
    <cfRule type="expression" dxfId="0" priority="1">
      <formula>$N$24&lt;0.0001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Name</vt:lpstr>
      <vt:lpstr>Future Value</vt:lpstr>
      <vt:lpstr>Retirement Corpus</vt:lpstr>
      <vt:lpstr>Invest Per Month</vt:lpstr>
      <vt:lpstr>Summary</vt:lpstr>
    </vt:vector>
  </TitlesOfParts>
  <Company>RMF</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Divesh Mehta</dc:creator>
  <cp:lastModifiedBy>Hannah</cp:lastModifiedBy>
  <dcterms:created xsi:type="dcterms:W3CDTF">2015-01-22T11:19:38Z</dcterms:created>
  <dcterms:modified xsi:type="dcterms:W3CDTF">2015-02-02T09:31:55Z</dcterms:modified>
</cp:coreProperties>
</file>