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nancial Calculators\"/>
    </mc:Choice>
  </mc:AlternateContent>
  <xr:revisionPtr revIDLastSave="0" documentId="13_ncr:1_{E6B9D3A9-DBB7-4F76-BB66-66FCB2BC09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tirment Calculator" sheetId="1" r:id="rId1"/>
    <sheet name="Wealth Calculator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B26" i="1"/>
  <c r="B29" i="1" l="1"/>
  <c r="B15" i="1"/>
  <c r="G11" i="1"/>
  <c r="E11" i="1"/>
  <c r="E14" i="1" s="1"/>
  <c r="B11" i="2"/>
  <c r="B17" i="2" s="1"/>
  <c r="B10" i="2"/>
  <c r="B16" i="2" s="1"/>
  <c r="B9" i="2"/>
  <c r="B15" i="2" s="1"/>
  <c r="B8" i="2"/>
  <c r="B14" i="2" s="1"/>
  <c r="B22" i="3"/>
  <c r="B23" i="3"/>
  <c r="B12" i="3"/>
  <c r="B26" i="3"/>
  <c r="G8" i="3"/>
  <c r="G11" i="3" s="1"/>
  <c r="E8" i="3"/>
  <c r="B21" i="1" l="1"/>
  <c r="B23" i="1"/>
  <c r="B18" i="3"/>
  <c r="B20" i="3"/>
  <c r="E11" i="3"/>
  <c r="E12" i="3" s="1"/>
  <c r="E13" i="3" s="1"/>
  <c r="G14" i="1"/>
  <c r="G15" i="1" s="1"/>
  <c r="G16" i="1" s="1"/>
  <c r="E15" i="1"/>
  <c r="E16" i="1" s="1"/>
  <c r="G12" i="3"/>
  <c r="G13" i="3" s="1"/>
  <c r="B31" i="1" l="1"/>
  <c r="B32" i="1" s="1"/>
  <c r="B33" i="1" s="1"/>
  <c r="B28" i="3"/>
  <c r="B29" i="3" s="1"/>
</calcChain>
</file>

<file path=xl/sharedStrings.xml><?xml version="1.0" encoding="utf-8"?>
<sst xmlns="http://schemas.openxmlformats.org/spreadsheetml/2006/main" count="108" uniqueCount="57">
  <si>
    <t>Name of Client</t>
  </si>
  <si>
    <t>Age</t>
  </si>
  <si>
    <t>Personal Expense</t>
  </si>
  <si>
    <t>Other Obligation</t>
  </si>
  <si>
    <t>Net Expense</t>
  </si>
  <si>
    <t>Present Age</t>
  </si>
  <si>
    <t>Retirement Age</t>
  </si>
  <si>
    <t>Exp. ROI Post Retirement</t>
  </si>
  <si>
    <t>No. of Year Remaining (7-2 column)</t>
  </si>
  <si>
    <t>Current Return on Investment(ROI)</t>
  </si>
  <si>
    <t>General Information</t>
  </si>
  <si>
    <t>Pawan Ghavri</t>
  </si>
  <si>
    <t>Present Expense p.a</t>
  </si>
  <si>
    <t>Exp. Inflation % till retirement</t>
  </si>
  <si>
    <t>Life Expectancy</t>
  </si>
  <si>
    <t>Any Other Goal</t>
  </si>
  <si>
    <t xml:space="preserve">Goal </t>
  </si>
  <si>
    <t>Target Year</t>
  </si>
  <si>
    <t>No. of yrs Left</t>
  </si>
  <si>
    <t xml:space="preserve">Corpus Requird at TYr </t>
  </si>
  <si>
    <t>Solutions</t>
  </si>
  <si>
    <t>Pratham</t>
  </si>
  <si>
    <t>Hannah</t>
  </si>
  <si>
    <t>Education</t>
  </si>
  <si>
    <t>How much to Save p.a</t>
  </si>
  <si>
    <t>How much to Save p.m</t>
  </si>
  <si>
    <t>Marriage</t>
  </si>
  <si>
    <t xml:space="preserve">Corpus Requird at Tgt Yr </t>
  </si>
  <si>
    <t xml:space="preserve"> Net Expenses at age of Retirment</t>
  </si>
  <si>
    <t>Effective Ret. on Investment (Pre-Retd)</t>
  </si>
  <si>
    <t>Effective Ret.on Investment (Post- Retd)</t>
  </si>
  <si>
    <t>You Need Insurance (H.L.V) Today</t>
  </si>
  <si>
    <t>Child 1</t>
  </si>
  <si>
    <t>Child 2</t>
  </si>
  <si>
    <t>How much to Save p.a today  achieve TGT</t>
  </si>
  <si>
    <t>Son's Education</t>
  </si>
  <si>
    <t>Sip 1 p.m</t>
  </si>
  <si>
    <t>Current Age</t>
  </si>
  <si>
    <t>Exp. ROI</t>
  </si>
  <si>
    <t>Annual Compound (1)</t>
  </si>
  <si>
    <t>Compound Half Yrly (2)</t>
  </si>
  <si>
    <t>Compound Quarterly (3)</t>
  </si>
  <si>
    <t>Compound Monthly (4)</t>
  </si>
  <si>
    <t>Future Value at Target Year (1)</t>
  </si>
  <si>
    <t>Future Value at Target Year (2)</t>
  </si>
  <si>
    <t>Future Value at Target Year (3)</t>
  </si>
  <si>
    <t>Future Value at Target Year (4)</t>
  </si>
  <si>
    <t xml:space="preserve">Present Cost of Goal </t>
  </si>
  <si>
    <t>Current Investment (If any)</t>
  </si>
  <si>
    <t>Future Value of Investments (Inflation Adj.)</t>
  </si>
  <si>
    <t>Future Value of Investments -at retirement</t>
  </si>
  <si>
    <t>How much to Save p.m today  achieve TGT</t>
  </si>
  <si>
    <t xml:space="preserve">Child </t>
  </si>
  <si>
    <t>Mr. Vivek</t>
  </si>
  <si>
    <t>Alankrita</t>
  </si>
  <si>
    <t>Aakriti</t>
  </si>
  <si>
    <t>Corpus Required at Retirement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</si>
</sst>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;[Red]\-&quot;£&quot;#,##0"/>
    <numFmt numFmtId="165" formatCode="&quot;£&quot;#,##0.00;[Red]\-&quot;£&quot;#,##0.00"/>
    <numFmt numFmtId="166" formatCode="[$INR]\ #,##0;[Red]\-[$INR]\ 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164" fontId="0" fillId="0" borderId="0" xfId="0" applyNumberFormat="1"/>
    <xf numFmtId="0" fontId="0" fillId="0" borderId="1" xfId="0" applyBorder="1"/>
    <xf numFmtId="164" fontId="0" fillId="0" borderId="2" xfId="0" applyNumberFormat="1" applyBorder="1"/>
    <xf numFmtId="0" fontId="0" fillId="0" borderId="3" xfId="0" applyBorder="1"/>
    <xf numFmtId="164" fontId="0" fillId="0" borderId="4" xfId="0" applyNumberFormat="1" applyBorder="1"/>
    <xf numFmtId="0" fontId="2" fillId="0" borderId="1" xfId="0" applyFont="1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2" fillId="0" borderId="2" xfId="0" applyFont="1" applyBorder="1"/>
    <xf numFmtId="0" fontId="2" fillId="0" borderId="8" xfId="0" applyFont="1" applyBorder="1"/>
    <xf numFmtId="0" fontId="2" fillId="0" borderId="7" xfId="0" applyFont="1" applyBorder="1"/>
    <xf numFmtId="9" fontId="0" fillId="0" borderId="8" xfId="0" applyNumberFormat="1" applyBorder="1"/>
    <xf numFmtId="1" fontId="0" fillId="0" borderId="4" xfId="0" applyNumberFormat="1" applyBorder="1"/>
    <xf numFmtId="0" fontId="0" fillId="0" borderId="8" xfId="0" applyBorder="1" applyAlignment="1">
      <alignment horizontal="center"/>
    </xf>
    <xf numFmtId="0" fontId="0" fillId="0" borderId="9" xfId="0" applyBorder="1"/>
    <xf numFmtId="10" fontId="0" fillId="0" borderId="2" xfId="1" applyNumberFormat="1" applyFont="1" applyBorder="1"/>
    <xf numFmtId="10" fontId="0" fillId="0" borderId="4" xfId="1" applyNumberFormat="1" applyFont="1" applyBorder="1"/>
    <xf numFmtId="10" fontId="0" fillId="0" borderId="0" xfId="1" applyNumberFormat="1" applyFont="1" applyBorder="1"/>
    <xf numFmtId="164" fontId="0" fillId="0" borderId="10" xfId="0" applyNumberFormat="1" applyBorder="1"/>
    <xf numFmtId="164" fontId="0" fillId="0" borderId="2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0" fontId="0" fillId="0" borderId="0" xfId="1" applyNumberFormat="1" applyFont="1"/>
    <xf numFmtId="9" fontId="0" fillId="0" borderId="4" xfId="0" applyNumberFormat="1" applyBorder="1"/>
    <xf numFmtId="10" fontId="0" fillId="0" borderId="2" xfId="0" applyNumberFormat="1" applyBorder="1"/>
    <xf numFmtId="10" fontId="0" fillId="0" borderId="8" xfId="1" applyNumberFormat="1" applyFont="1" applyBorder="1"/>
    <xf numFmtId="165" fontId="0" fillId="0" borderId="2" xfId="0" applyNumberFormat="1" applyBorder="1"/>
    <xf numFmtId="165" fontId="0" fillId="0" borderId="8" xfId="0" applyNumberFormat="1" applyBorder="1"/>
    <xf numFmtId="165" fontId="0" fillId="0" borderId="4" xfId="0" applyNumberFormat="1" applyBorder="1"/>
    <xf numFmtId="166" fontId="0" fillId="0" borderId="10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1</xdr:col>
      <xdr:colOff>9525</xdr:colOff>
      <xdr:row>4</xdr:row>
      <xdr:rowOff>9525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8100"/>
          <a:ext cx="2514600" cy="7334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G33"/>
  <sheetViews>
    <sheetView tabSelected="1" topLeftCell="A24" workbookViewId="0">
      <selection activeCell="B35" sqref="B35"/>
    </sheetView>
  </sheetViews>
  <sheetFormatPr defaultRowHeight="14.4" x14ac:dyDescent="0.3"/>
  <cols>
    <col min="1" max="1" width="37.5546875" bestFit="1" customWidth="1"/>
    <col min="2" max="2" width="15.21875" bestFit="1" customWidth="1"/>
    <col min="4" max="4" width="20.5546875" bestFit="1" customWidth="1"/>
    <col min="5" max="5" width="14.5546875" bestFit="1" customWidth="1"/>
    <col min="6" max="6" width="22.77734375" bestFit="1" customWidth="1"/>
    <col min="7" max="7" width="13.77734375" bestFit="1" customWidth="1"/>
  </cols>
  <sheetData>
    <row r="5" spans="1:7" ht="15" thickBot="1" x14ac:dyDescent="0.35"/>
    <row r="6" spans="1:7" x14ac:dyDescent="0.3">
      <c r="A6" s="7" t="s">
        <v>10</v>
      </c>
      <c r="B6" s="8"/>
      <c r="D6" s="7" t="s">
        <v>15</v>
      </c>
      <c r="E6" s="8"/>
      <c r="F6" s="7" t="s">
        <v>15</v>
      </c>
      <c r="G6" s="11"/>
    </row>
    <row r="7" spans="1:7" x14ac:dyDescent="0.3">
      <c r="A7" s="9" t="s">
        <v>0</v>
      </c>
      <c r="B7" s="12" t="s">
        <v>53</v>
      </c>
      <c r="D7" s="9" t="s">
        <v>52</v>
      </c>
      <c r="E7" s="16" t="s">
        <v>54</v>
      </c>
      <c r="F7" s="9" t="s">
        <v>52</v>
      </c>
      <c r="G7" s="16" t="s">
        <v>55</v>
      </c>
    </row>
    <row r="8" spans="1:7" x14ac:dyDescent="0.3">
      <c r="A8" s="9" t="s">
        <v>5</v>
      </c>
      <c r="B8" s="12">
        <v>60</v>
      </c>
      <c r="D8" s="9" t="s">
        <v>1</v>
      </c>
      <c r="E8" s="16">
        <v>25</v>
      </c>
      <c r="F8" s="9" t="s">
        <v>1</v>
      </c>
      <c r="G8" s="16">
        <v>23</v>
      </c>
    </row>
    <row r="9" spans="1:7" x14ac:dyDescent="0.3">
      <c r="A9" s="9" t="s">
        <v>12</v>
      </c>
      <c r="B9" s="10">
        <v>5000000</v>
      </c>
      <c r="D9" s="9" t="s">
        <v>16</v>
      </c>
      <c r="E9" s="16" t="s">
        <v>26</v>
      </c>
      <c r="F9" s="9" t="s">
        <v>16</v>
      </c>
      <c r="G9" s="16" t="s">
        <v>26</v>
      </c>
    </row>
    <row r="10" spans="1:7" x14ac:dyDescent="0.3">
      <c r="A10" s="9" t="s">
        <v>2</v>
      </c>
      <c r="B10" s="10">
        <v>0</v>
      </c>
      <c r="D10" s="9" t="s">
        <v>17</v>
      </c>
      <c r="E10" s="16">
        <v>27</v>
      </c>
      <c r="F10" s="9" t="s">
        <v>17</v>
      </c>
      <c r="G10" s="16">
        <v>27</v>
      </c>
    </row>
    <row r="11" spans="1:7" x14ac:dyDescent="0.3">
      <c r="A11" s="9" t="s">
        <v>3</v>
      </c>
      <c r="B11" s="10">
        <v>0</v>
      </c>
      <c r="D11" s="9" t="s">
        <v>18</v>
      </c>
      <c r="E11" s="16">
        <f>E10-E8</f>
        <v>2</v>
      </c>
      <c r="F11" s="9" t="s">
        <v>18</v>
      </c>
      <c r="G11" s="16">
        <f>G10-G8</f>
        <v>4</v>
      </c>
    </row>
    <row r="12" spans="1:7" x14ac:dyDescent="0.3">
      <c r="A12" s="13" t="s">
        <v>4</v>
      </c>
      <c r="B12" s="12">
        <v>5000000</v>
      </c>
      <c r="D12" s="9" t="s">
        <v>47</v>
      </c>
      <c r="E12" s="16">
        <v>10000000</v>
      </c>
      <c r="F12" s="9" t="s">
        <v>47</v>
      </c>
      <c r="G12" s="16">
        <v>10000000</v>
      </c>
    </row>
    <row r="13" spans="1:7" x14ac:dyDescent="0.3">
      <c r="A13" s="13" t="s">
        <v>48</v>
      </c>
      <c r="B13" s="12">
        <v>2000000</v>
      </c>
      <c r="D13" s="9"/>
      <c r="E13" s="16"/>
      <c r="F13" s="9"/>
      <c r="G13" s="16"/>
    </row>
    <row r="14" spans="1:7" ht="15" thickBot="1" x14ac:dyDescent="0.35">
      <c r="A14" s="9" t="s">
        <v>6</v>
      </c>
      <c r="B14" s="12">
        <v>85</v>
      </c>
      <c r="D14" s="5" t="s">
        <v>19</v>
      </c>
      <c r="E14" s="6">
        <f>FV(B16,E11,0,-E12,0)</f>
        <v>11236000.000000002</v>
      </c>
      <c r="F14" s="5" t="s">
        <v>27</v>
      </c>
      <c r="G14" s="6">
        <f>FV(B16,G11,0,-G12,0)</f>
        <v>12624769.600000003</v>
      </c>
    </row>
    <row r="15" spans="1:7" x14ac:dyDescent="0.3">
      <c r="A15" s="9" t="s">
        <v>8</v>
      </c>
      <c r="B15" s="10">
        <f>B14-B8</f>
        <v>25</v>
      </c>
      <c r="D15" s="3" t="s">
        <v>24</v>
      </c>
      <c r="E15" s="22">
        <f>PMT(B17,E11,0,E14,0)</f>
        <v>-5201851.8518518535</v>
      </c>
      <c r="F15" s="3" t="s">
        <v>24</v>
      </c>
      <c r="G15" s="24">
        <f>PMT(B17,G11,0,G14,0)</f>
        <v>-2491814.7769188024</v>
      </c>
    </row>
    <row r="16" spans="1:7" ht="15" thickBot="1" x14ac:dyDescent="0.35">
      <c r="A16" s="9" t="s">
        <v>13</v>
      </c>
      <c r="B16" s="14">
        <v>0.06</v>
      </c>
      <c r="D16" s="5" t="s">
        <v>25</v>
      </c>
      <c r="E16" s="23">
        <f>E15/12</f>
        <v>-433487.65432098781</v>
      </c>
      <c r="F16" s="5" t="s">
        <v>25</v>
      </c>
      <c r="G16" s="25">
        <f>G15/12</f>
        <v>-207651.23140990021</v>
      </c>
    </row>
    <row r="17" spans="1:7" x14ac:dyDescent="0.3">
      <c r="A17" s="9" t="s">
        <v>9</v>
      </c>
      <c r="B17" s="14">
        <v>0.16</v>
      </c>
      <c r="G17" s="2"/>
    </row>
    <row r="18" spans="1:7" x14ac:dyDescent="0.3">
      <c r="A18" s="9" t="s">
        <v>7</v>
      </c>
      <c r="B18" s="14">
        <v>0.14000000000000001</v>
      </c>
    </row>
    <row r="19" spans="1:7" ht="15" thickBot="1" x14ac:dyDescent="0.35">
      <c r="A19" s="5" t="s">
        <v>14</v>
      </c>
      <c r="B19" s="15">
        <v>90</v>
      </c>
    </row>
    <row r="20" spans="1:7" ht="15" thickBot="1" x14ac:dyDescent="0.35"/>
    <row r="21" spans="1:7" ht="15" thickBot="1" x14ac:dyDescent="0.35">
      <c r="A21" s="17" t="s">
        <v>28</v>
      </c>
      <c r="B21" s="33">
        <f>FV(B16,B15,0,B12,0)</f>
        <v>-21459353.59871744</v>
      </c>
    </row>
    <row r="22" spans="1:7" ht="15" thickBot="1" x14ac:dyDescent="0.35">
      <c r="B22" s="2"/>
    </row>
    <row r="23" spans="1:7" ht="15" thickBot="1" x14ac:dyDescent="0.35">
      <c r="A23" s="17" t="s">
        <v>50</v>
      </c>
      <c r="B23" s="21">
        <f>FV(B17,B15,0,-B13,0)</f>
        <v>81748487.535938337</v>
      </c>
    </row>
    <row r="24" spans="1:7" ht="15" thickBot="1" x14ac:dyDescent="0.35">
      <c r="B24" s="2"/>
    </row>
    <row r="25" spans="1:7" s="1" customFormat="1" x14ac:dyDescent="0.3">
      <c r="A25" s="3"/>
      <c r="B25" s="18"/>
      <c r="C25"/>
      <c r="D25"/>
      <c r="E25"/>
      <c r="F25"/>
      <c r="G25"/>
    </row>
    <row r="26" spans="1:7" ht="15" thickBot="1" x14ac:dyDescent="0.35">
      <c r="A26" s="5" t="s">
        <v>30</v>
      </c>
      <c r="B26" s="19">
        <f>(1+B18)/(1+B16)-1</f>
        <v>7.547169811320753E-2</v>
      </c>
    </row>
    <row r="27" spans="1:7" x14ac:dyDescent="0.3">
      <c r="B27" s="20"/>
    </row>
    <row r="28" spans="1:7" ht="15" thickBot="1" x14ac:dyDescent="0.35">
      <c r="A28" s="1" t="s">
        <v>20</v>
      </c>
      <c r="B28" s="1"/>
      <c r="C28" s="1"/>
      <c r="D28" s="1"/>
      <c r="E28" s="1"/>
      <c r="F28" s="1"/>
      <c r="G28" s="1"/>
    </row>
    <row r="29" spans="1:7" ht="15" thickBot="1" x14ac:dyDescent="0.35">
      <c r="A29" s="17" t="s">
        <v>31</v>
      </c>
      <c r="B29" s="21">
        <f>PV(B18,B19-B8,-B12,0,0)</f>
        <v>35013320.561137348</v>
      </c>
    </row>
    <row r="30" spans="1:7" ht="15" thickBot="1" x14ac:dyDescent="0.35"/>
    <row r="31" spans="1:7" x14ac:dyDescent="0.3">
      <c r="A31" s="3" t="s">
        <v>56</v>
      </c>
      <c r="B31" s="4">
        <f>PV(B17,B19-B14,-B21,,1)-B23</f>
        <v>-163254988.88388368</v>
      </c>
    </row>
    <row r="32" spans="1:7" ht="15" thickBot="1" x14ac:dyDescent="0.35">
      <c r="A32" s="5" t="s">
        <v>34</v>
      </c>
      <c r="B32" s="6">
        <f>PMT(B17,B14-B8,0,B31,0)</f>
        <v>655079.46366130351</v>
      </c>
    </row>
    <row r="33" spans="1:2" ht="15" thickBot="1" x14ac:dyDescent="0.35">
      <c r="A33" s="17" t="s">
        <v>51</v>
      </c>
      <c r="B33" s="21">
        <f>B32/12</f>
        <v>54589.955305108626</v>
      </c>
    </row>
  </sheetData>
  <pageMargins left="0.15" right="0.14000000000000001" top="0.74803149606299213" bottom="0.74803149606299213" header="0.35" footer="0.31496062992125984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B3" sqref="B3"/>
    </sheetView>
  </sheetViews>
  <sheetFormatPr defaultRowHeight="14.4" x14ac:dyDescent="0.3"/>
  <cols>
    <col min="1" max="1" width="29.21875" bestFit="1" customWidth="1"/>
    <col min="2" max="2" width="14.77734375" bestFit="1" customWidth="1"/>
  </cols>
  <sheetData>
    <row r="1" spans="1:2" ht="15" thickBot="1" x14ac:dyDescent="0.35"/>
    <row r="2" spans="1:2" x14ac:dyDescent="0.3">
      <c r="A2" s="3" t="s">
        <v>16</v>
      </c>
      <c r="B2" s="8" t="s">
        <v>35</v>
      </c>
    </row>
    <row r="3" spans="1:2" x14ac:dyDescent="0.3">
      <c r="A3" s="9" t="s">
        <v>36</v>
      </c>
      <c r="B3" s="10">
        <v>900000</v>
      </c>
    </row>
    <row r="4" spans="1:2" x14ac:dyDescent="0.3">
      <c r="A4" s="9" t="s">
        <v>37</v>
      </c>
      <c r="B4" s="10">
        <v>55</v>
      </c>
    </row>
    <row r="5" spans="1:2" x14ac:dyDescent="0.3">
      <c r="A5" s="9" t="s">
        <v>17</v>
      </c>
      <c r="B5" s="10">
        <v>58</v>
      </c>
    </row>
    <row r="6" spans="1:2" ht="15" thickBot="1" x14ac:dyDescent="0.35">
      <c r="A6" s="5" t="s">
        <v>38</v>
      </c>
      <c r="B6" s="27">
        <v>0.12</v>
      </c>
    </row>
    <row r="7" spans="1:2" ht="15" thickBot="1" x14ac:dyDescent="0.35">
      <c r="B7" s="26"/>
    </row>
    <row r="8" spans="1:2" x14ac:dyDescent="0.3">
      <c r="A8" s="3" t="s">
        <v>39</v>
      </c>
      <c r="B8" s="28">
        <f>B6</f>
        <v>0.12</v>
      </c>
    </row>
    <row r="9" spans="1:2" x14ac:dyDescent="0.3">
      <c r="A9" s="9" t="s">
        <v>40</v>
      </c>
      <c r="B9" s="29">
        <f>EFFECT(B6,2)</f>
        <v>0.12360000000000015</v>
      </c>
    </row>
    <row r="10" spans="1:2" x14ac:dyDescent="0.3">
      <c r="A10" s="9" t="s">
        <v>41</v>
      </c>
      <c r="B10" s="29">
        <f>EFFECT(B6,4)</f>
        <v>0.12550880999999992</v>
      </c>
    </row>
    <row r="11" spans="1:2" ht="15" thickBot="1" x14ac:dyDescent="0.35">
      <c r="A11" s="5" t="s">
        <v>42</v>
      </c>
      <c r="B11" s="19">
        <f>EFFECT(B6,12)</f>
        <v>0.12682503013196977</v>
      </c>
    </row>
    <row r="12" spans="1:2" x14ac:dyDescent="0.3">
      <c r="B12" s="20"/>
    </row>
    <row r="13" spans="1:2" ht="15" thickBot="1" x14ac:dyDescent="0.35"/>
    <row r="14" spans="1:2" x14ac:dyDescent="0.3">
      <c r="A14" s="3" t="s">
        <v>43</v>
      </c>
      <c r="B14" s="30">
        <f>FV(B8/12,(B5-B4)*12,-B3,0,0)</f>
        <v>38769190.523242295</v>
      </c>
    </row>
    <row r="15" spans="1:2" x14ac:dyDescent="0.3">
      <c r="A15" s="9" t="s">
        <v>44</v>
      </c>
      <c r="B15" s="31">
        <f>FV(B9/12,(B5-B4)*12,-B3,0,0)</f>
        <v>38983796.02492287</v>
      </c>
    </row>
    <row r="16" spans="1:2" x14ac:dyDescent="0.3">
      <c r="A16" s="9" t="s">
        <v>45</v>
      </c>
      <c r="B16" s="31">
        <f>FV(B10/12,(B5-B4)*12,-B3,0,0)</f>
        <v>39098190.65230386</v>
      </c>
    </row>
    <row r="17" spans="1:2" ht="15" thickBot="1" x14ac:dyDescent="0.35">
      <c r="A17" s="5" t="s">
        <v>46</v>
      </c>
      <c r="B17" s="32">
        <f>FV(B11/12,(B5-B4)*12,-B3,0,0)</f>
        <v>39177317.038299598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29"/>
  <sheetViews>
    <sheetView workbookViewId="0">
      <selection activeCell="G10" sqref="G10"/>
    </sheetView>
  </sheetViews>
  <sheetFormatPr defaultRowHeight="14.4" x14ac:dyDescent="0.3"/>
  <cols>
    <col min="1" max="1" width="38.21875" bestFit="1" customWidth="1"/>
    <col min="2" max="2" width="13.77734375" bestFit="1" customWidth="1"/>
    <col min="4" max="4" width="21.44140625" bestFit="1" customWidth="1"/>
    <col min="5" max="5" width="11.33203125" bestFit="1" customWidth="1"/>
    <col min="6" max="6" width="22.77734375" bestFit="1" customWidth="1"/>
    <col min="7" max="7" width="11.21875" bestFit="1" customWidth="1"/>
  </cols>
  <sheetData>
    <row r="2" spans="1:7" ht="15" thickBot="1" x14ac:dyDescent="0.35"/>
    <row r="3" spans="1:7" x14ac:dyDescent="0.3">
      <c r="A3" s="7" t="s">
        <v>10</v>
      </c>
      <c r="B3" s="8"/>
      <c r="D3" s="7" t="s">
        <v>15</v>
      </c>
      <c r="E3" s="8"/>
      <c r="F3" s="7" t="s">
        <v>15</v>
      </c>
      <c r="G3" s="11"/>
    </row>
    <row r="4" spans="1:7" x14ac:dyDescent="0.3">
      <c r="A4" s="9" t="s">
        <v>0</v>
      </c>
      <c r="B4" s="12" t="s">
        <v>11</v>
      </c>
      <c r="D4" s="9" t="s">
        <v>32</v>
      </c>
      <c r="E4" s="16" t="s">
        <v>21</v>
      </c>
      <c r="F4" s="9" t="s">
        <v>33</v>
      </c>
      <c r="G4" s="16" t="s">
        <v>22</v>
      </c>
    </row>
    <row r="5" spans="1:7" x14ac:dyDescent="0.3">
      <c r="A5" s="9" t="s">
        <v>5</v>
      </c>
      <c r="B5" s="12">
        <v>50</v>
      </c>
      <c r="D5" s="9" t="s">
        <v>1</v>
      </c>
      <c r="E5" s="16">
        <v>18</v>
      </c>
      <c r="F5" s="9" t="s">
        <v>1</v>
      </c>
      <c r="G5" s="16">
        <v>3</v>
      </c>
    </row>
    <row r="6" spans="1:7" x14ac:dyDescent="0.3">
      <c r="A6" s="9" t="s">
        <v>12</v>
      </c>
      <c r="B6" s="10">
        <v>1250000</v>
      </c>
      <c r="D6" s="9" t="s">
        <v>16</v>
      </c>
      <c r="E6" s="16" t="s">
        <v>23</v>
      </c>
      <c r="F6" s="9" t="s">
        <v>16</v>
      </c>
      <c r="G6" s="16" t="s">
        <v>26</v>
      </c>
    </row>
    <row r="7" spans="1:7" x14ac:dyDescent="0.3">
      <c r="A7" s="9" t="s">
        <v>2</v>
      </c>
      <c r="B7" s="10">
        <v>150000</v>
      </c>
      <c r="D7" s="9" t="s">
        <v>17</v>
      </c>
      <c r="E7" s="16">
        <v>25</v>
      </c>
      <c r="F7" s="9" t="s">
        <v>17</v>
      </c>
      <c r="G7" s="16">
        <v>25</v>
      </c>
    </row>
    <row r="8" spans="1:7" x14ac:dyDescent="0.3">
      <c r="A8" s="9" t="s">
        <v>3</v>
      </c>
      <c r="B8" s="10">
        <v>100000</v>
      </c>
      <c r="D8" s="9" t="s">
        <v>18</v>
      </c>
      <c r="E8" s="16">
        <f>E7-E5</f>
        <v>7</v>
      </c>
      <c r="F8" s="9" t="s">
        <v>18</v>
      </c>
      <c r="G8" s="16">
        <f>G7-G5</f>
        <v>22</v>
      </c>
    </row>
    <row r="9" spans="1:7" x14ac:dyDescent="0.3">
      <c r="A9" s="13" t="s">
        <v>4</v>
      </c>
      <c r="B9" s="12">
        <f>(B6-(B7+B8))</f>
        <v>1000000</v>
      </c>
      <c r="D9" s="9" t="s">
        <v>47</v>
      </c>
      <c r="E9" s="16">
        <v>10000000</v>
      </c>
      <c r="F9" s="9" t="s">
        <v>47</v>
      </c>
      <c r="G9" s="16">
        <v>10000000</v>
      </c>
    </row>
    <row r="10" spans="1:7" x14ac:dyDescent="0.3">
      <c r="A10" s="13" t="s">
        <v>48</v>
      </c>
      <c r="B10" s="12">
        <v>40000000</v>
      </c>
      <c r="D10" s="9"/>
      <c r="E10" s="16"/>
      <c r="F10" s="9"/>
      <c r="G10" s="16"/>
    </row>
    <row r="11" spans="1:7" ht="15" thickBot="1" x14ac:dyDescent="0.35">
      <c r="A11" s="9" t="s">
        <v>6</v>
      </c>
      <c r="B11" s="12">
        <v>60</v>
      </c>
      <c r="D11" s="5" t="s">
        <v>19</v>
      </c>
      <c r="E11" s="6">
        <f>FV(B13,E8,0,-E9,0)</f>
        <v>15036302.589913609</v>
      </c>
      <c r="F11" s="5" t="s">
        <v>27</v>
      </c>
      <c r="G11" s="6">
        <f>FV(B13,G8,0,-G9,0)</f>
        <v>36035374.165783569</v>
      </c>
    </row>
    <row r="12" spans="1:7" x14ac:dyDescent="0.3">
      <c r="A12" s="9" t="s">
        <v>8</v>
      </c>
      <c r="B12" s="10">
        <f>B11-B5</f>
        <v>10</v>
      </c>
      <c r="D12" s="3" t="s">
        <v>24</v>
      </c>
      <c r="E12" s="22">
        <f>PMT(B14,E8,0,E11,0)</f>
        <v>-1358685.7693837732</v>
      </c>
      <c r="F12" s="3" t="s">
        <v>24</v>
      </c>
      <c r="G12" s="24">
        <f>PMT(B14,G8,0,G11,0)</f>
        <v>-261824.78596958777</v>
      </c>
    </row>
    <row r="13" spans="1:7" ht="15" thickBot="1" x14ac:dyDescent="0.35">
      <c r="A13" s="9" t="s">
        <v>13</v>
      </c>
      <c r="B13" s="14">
        <v>0.06</v>
      </c>
      <c r="D13" s="5" t="s">
        <v>25</v>
      </c>
      <c r="E13" s="23">
        <f>E12/12</f>
        <v>-113223.81411531444</v>
      </c>
      <c r="F13" s="5" t="s">
        <v>25</v>
      </c>
      <c r="G13" s="25">
        <f>G12/12</f>
        <v>-21818.732164132314</v>
      </c>
    </row>
    <row r="14" spans="1:7" x14ac:dyDescent="0.3">
      <c r="A14" s="9" t="s">
        <v>9</v>
      </c>
      <c r="B14" s="14">
        <v>0.15</v>
      </c>
      <c r="G14" s="2"/>
    </row>
    <row r="15" spans="1:7" x14ac:dyDescent="0.3">
      <c r="A15" s="9" t="s">
        <v>7</v>
      </c>
      <c r="B15" s="14">
        <v>0.12</v>
      </c>
    </row>
    <row r="16" spans="1:7" ht="15" thickBot="1" x14ac:dyDescent="0.35">
      <c r="A16" s="5" t="s">
        <v>14</v>
      </c>
      <c r="B16" s="15">
        <v>85</v>
      </c>
    </row>
    <row r="17" spans="1:7" ht="15" thickBot="1" x14ac:dyDescent="0.35"/>
    <row r="18" spans="1:7" ht="15" thickBot="1" x14ac:dyDescent="0.35">
      <c r="A18" s="17" t="s">
        <v>28</v>
      </c>
      <c r="B18" s="21">
        <f>FV(B13,B12,0,B9,0)</f>
        <v>-1790847.6965428547</v>
      </c>
    </row>
    <row r="19" spans="1:7" ht="15" thickBot="1" x14ac:dyDescent="0.35">
      <c r="B19" s="2"/>
    </row>
    <row r="20" spans="1:7" ht="15" thickBot="1" x14ac:dyDescent="0.35">
      <c r="A20" s="17" t="s">
        <v>49</v>
      </c>
      <c r="B20" s="21">
        <f>FV(B13,B12,0,-B10,0)</f>
        <v>71633907.861714184</v>
      </c>
    </row>
    <row r="21" spans="1:7" ht="15" thickBot="1" x14ac:dyDescent="0.35">
      <c r="B21" s="2"/>
    </row>
    <row r="22" spans="1:7" x14ac:dyDescent="0.3">
      <c r="A22" s="3" t="s">
        <v>29</v>
      </c>
      <c r="B22" s="18">
        <f>(1+B14)/(1+B13)-1</f>
        <v>8.4905660377358361E-2</v>
      </c>
    </row>
    <row r="23" spans="1:7" ht="15" thickBot="1" x14ac:dyDescent="0.35">
      <c r="A23" s="5" t="s">
        <v>30</v>
      </c>
      <c r="B23" s="19">
        <f>(1+B15)/(1+B13)-1</f>
        <v>5.6603773584905648E-2</v>
      </c>
    </row>
    <row r="24" spans="1:7" x14ac:dyDescent="0.3">
      <c r="B24" s="20"/>
    </row>
    <row r="25" spans="1:7" ht="15" thickBot="1" x14ac:dyDescent="0.35">
      <c r="A25" s="1" t="s">
        <v>20</v>
      </c>
      <c r="B25" s="1"/>
      <c r="C25" s="1"/>
      <c r="D25" s="1"/>
      <c r="E25" s="1"/>
      <c r="F25" s="1"/>
      <c r="G25" s="1"/>
    </row>
    <row r="26" spans="1:7" ht="15" thickBot="1" x14ac:dyDescent="0.35">
      <c r="A26" s="17" t="s">
        <v>31</v>
      </c>
      <c r="B26" s="21">
        <f>PV(B14,B16-B5,-B9,0,0)</f>
        <v>6616607.4178246548</v>
      </c>
    </row>
    <row r="27" spans="1:7" ht="15" thickBot="1" x14ac:dyDescent="0.35"/>
    <row r="28" spans="1:7" x14ac:dyDescent="0.3">
      <c r="A28" s="3" t="s">
        <v>56</v>
      </c>
      <c r="B28" s="4">
        <f>PV(B14,B16-B11,-B18,,1)+B20</f>
        <v>58321155.387328714</v>
      </c>
    </row>
    <row r="29" spans="1:7" ht="15" thickBot="1" x14ac:dyDescent="0.35">
      <c r="A29" s="5" t="s">
        <v>34</v>
      </c>
      <c r="B29" s="6">
        <f>PMT(B22,B11-B5,0,B28,0)</f>
        <v>-3933061.3188423733</v>
      </c>
    </row>
  </sheetData>
  <pageMargins left="0.70866141732283472" right="0.70866141732283472" top="0.74803149606299213" bottom="0.7480314960629921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Retirment Calculator</vt:lpstr>
      <vt:lpstr>Wealth Calculator</vt:lpstr>
      <vt:lpstr>Sheet3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PAWAN GHAVRI</cp:lastModifiedBy>
  <cp:lastPrinted>2015-05-14T10:31:19Z</cp:lastPrinted>
  <dcterms:created xsi:type="dcterms:W3CDTF">2012-08-01T13:33:02Z</dcterms:created>
  <dcterms:modified xsi:type="dcterms:W3CDTF">2024-01-26T08:23:58Z</dcterms:modified>
</cp:coreProperties>
</file>